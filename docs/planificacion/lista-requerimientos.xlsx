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  <sheet xmlns:r="http://schemas.openxmlformats.org/officeDocument/2006/relationships" name="PERT y camino crítico" sheetId="2" state="visible" r:id="rId2"/>
    <sheet xmlns:r="http://schemas.openxmlformats.org/officeDocument/2006/relationships" name="Referencias" sheetId="3" state="visible" r:id="rId3"/>
  </sheets>
  <definedNames>
    <definedName name="_xlnm._FilterDatabase" localSheetId="0" hidden="1">'Hoja 1'!$A$2:$U$50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6F8F9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6" customWidth="1" min="4" max="4"/>
    <col width="48" customWidth="1" min="5" max="5"/>
    <col width="20" customWidth="1" min="6" max="6"/>
    <col width="12" customWidth="1" min="7" max="7"/>
    <col width="12" customWidth="1" min="8" max="8"/>
    <col width="10" customWidth="1" min="9" max="9"/>
    <col width="4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24" customWidth="1" min="18" max="18"/>
    <col width="14" customWidth="1" min="19" max="19"/>
    <col width="34" customWidth="1" min="20" max="20"/>
    <col width="14" customWidth="1" min="21" max="21"/>
  </cols>
  <sheetData>
    <row r="1">
      <c r="K1" s="1" t="inlineStr">
        <is>
          <t>Estimaciones (pesimista/probable/optimista) EN DÍAS</t>
        </is>
      </c>
      <c r="Q1" s="1" t="inlineStr">
        <is>
          <t>Dependencias entre requerimientos</t>
        </is>
      </c>
      <c r="S1" s="1" t="inlineStr">
        <is>
          <t>Trazabilidad</t>
        </is>
      </c>
    </row>
    <row r="2">
      <c r="A2" s="2" t="inlineStr">
        <is>
          <t>Fase</t>
        </is>
      </c>
      <c r="B2" s="2" t="inlineStr">
        <is>
          <t>Módulo</t>
        </is>
      </c>
      <c r="C2" s="2" t="inlineStr">
        <is>
          <t>Número</t>
        </is>
      </c>
      <c r="D2" s="2" t="inlineStr">
        <is>
          <t>Descripción</t>
        </is>
      </c>
      <c r="E2" s="2" t="inlineStr">
        <is>
          <t>Storyboard</t>
        </is>
      </c>
      <c r="F2" s="2" t="inlineStr">
        <is>
          <t>Asignado a</t>
        </is>
      </c>
      <c r="G2" s="2" t="inlineStr">
        <is>
          <t>Fecha Inicio</t>
        </is>
      </c>
      <c r="H2" s="2" t="inlineStr">
        <is>
          <t>Fecha Fin</t>
        </is>
      </c>
      <c r="I2" s="2" t="inlineStr">
        <is>
          <t>Duración</t>
        </is>
      </c>
      <c r="J2" s="2" t="inlineStr">
        <is>
          <t>Observación</t>
        </is>
      </c>
      <c r="K2" s="2" t="inlineStr">
        <is>
          <t>Backend</t>
        </is>
      </c>
      <c r="L2" s="2" t="inlineStr">
        <is>
          <t>Frontend</t>
        </is>
      </c>
      <c r="M2" s="2" t="inlineStr">
        <is>
          <t>Implementación</t>
        </is>
      </c>
      <c r="N2" s="2" t="inlineStr">
        <is>
          <t>Base de datos</t>
        </is>
      </c>
      <c r="O2" s="2" t="inlineStr">
        <is>
          <t>Testing</t>
        </is>
      </c>
      <c r="P2" s="2" t="inlineStr">
        <is>
          <t>Analistas</t>
        </is>
      </c>
      <c r="Q2" s="2" t="inlineStr">
        <is>
          <t>Depende de (bloqueante)</t>
        </is>
      </c>
      <c r="R2" s="2" t="inlineStr">
        <is>
          <t>Dependencias deseables (opcional)</t>
        </is>
      </c>
      <c r="S2" s="2" t="inlineStr">
        <is>
          <t>Historia de usuario</t>
        </is>
      </c>
      <c r="T2" s="2" t="inlineStr">
        <is>
          <t>Casos de prueba / testware</t>
        </is>
      </c>
      <c r="U2" s="2" t="inlineStr">
        <is>
          <t>Estado</t>
        </is>
      </c>
    </row>
    <row r="3">
      <c r="A3" s="3" t="inlineStr">
        <is>
          <t>RF</t>
        </is>
      </c>
      <c r="B3" s="3" t="inlineStr">
        <is>
          <t>Gestión de Usuarios</t>
        </is>
      </c>
      <c r="C3" s="3" t="inlineStr">
        <is>
          <t>RF-001</t>
        </is>
      </c>
      <c r="D3" s="4" t="inlineStr">
        <is>
          <t>Inicio de sesión con correo o usuario</t>
        </is>
      </c>
      <c r="E3" s="4" t="inlineStr">
        <is>
          <t>El usuario ingresa su correo o su nombre de usuario y la contraseña. Si son correctos entra al Home; si no, ve un mensaje en español sin revelar cuál de los dos datos falló.</t>
        </is>
      </c>
      <c r="F3" s="4" t="inlineStr">
        <is>
          <t>Frontend / Backend</t>
        </is>
      </c>
      <c r="G3" s="5" t="n">
        <v>46262</v>
      </c>
      <c r="H3" s="5" t="n">
        <v>46264</v>
      </c>
      <c r="I3" s="6" t="n">
        <v>3</v>
      </c>
      <c r="J3" s="4" t="inlineStr">
        <is>
          <t>Etapa 1: HU02, RF1. Validado con Zod y React Hook Form. El login por usuario se resuelve con una función de la base.</t>
        </is>
      </c>
      <c r="K3" s="6" t="inlineStr">
        <is>
          <t>2/1/1</t>
        </is>
      </c>
      <c r="L3" s="6" t="inlineStr">
        <is>
          <t>3/2/1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1,5/1/0,5</t>
        </is>
      </c>
      <c r="P3" s="6" t="inlineStr">
        <is>
          <t>—</t>
        </is>
      </c>
      <c r="Q3" s="6" t="inlineStr">
        <is>
          <t>—</t>
        </is>
      </c>
      <c r="R3" s="6" t="inlineStr">
        <is>
          <t>RF-003</t>
        </is>
      </c>
      <c r="S3" s="4" t="inlineStr">
        <is>
          <t>HU02</t>
        </is>
      </c>
      <c r="T3" s="4" t="inlineStr">
        <is>
          <t>TC-HU02-01..03; Jest authSchemas; Postman auth/login; Maestro 01, 02</t>
        </is>
      </c>
      <c r="U3" s="6" t="inlineStr">
        <is>
          <t>Implementado</t>
        </is>
      </c>
    </row>
    <row r="4">
      <c r="A4" s="3" t="inlineStr">
        <is>
          <t>RF</t>
        </is>
      </c>
      <c r="B4" s="3" t="inlineStr">
        <is>
          <t>Gestión de Usuarios</t>
        </is>
      </c>
      <c r="C4" s="3" t="inlineStr">
        <is>
          <t>RF-002</t>
        </is>
      </c>
      <c r="D4" s="4" t="inlineStr">
        <is>
          <t>Registro de usuario</t>
        </is>
      </c>
      <c r="E4" s="4" t="inlineStr">
        <is>
          <t>El usuario crea su cuenta con nombre completo, usuario, correo y contraseña (mínimo 8 caracteres, con mayúscula, minúscula y número) y puede indicar que se registra como empresa.</t>
        </is>
      </c>
      <c r="F4" s="4" t="inlineStr">
        <is>
          <t>Frontend / Backend / Base de Datos</t>
        </is>
      </c>
      <c r="G4" s="5" t="n">
        <v>46264</v>
      </c>
      <c r="H4" s="5" t="n">
        <v>46267</v>
      </c>
      <c r="I4" s="6" t="n">
        <v>4</v>
      </c>
      <c r="J4" s="4" t="inlineStr">
        <is>
          <t>Etapa 1: HU01. El usuario es único y se valida antes de crear la cuenta.</t>
        </is>
      </c>
      <c r="K4" s="6" t="inlineStr">
        <is>
          <t>2/1/1</t>
        </is>
      </c>
      <c r="L4" s="6" t="inlineStr">
        <is>
          <t>3/2/1</t>
        </is>
      </c>
      <c r="M4" s="6" t="inlineStr">
        <is>
          <t>—</t>
        </is>
      </c>
      <c r="N4" s="6" t="inlineStr">
        <is>
          <t>1/1/0,5</t>
        </is>
      </c>
      <c r="O4" s="6" t="inlineStr">
        <is>
          <t>1,5/1/0,5</t>
        </is>
      </c>
      <c r="P4" s="6" t="inlineStr">
        <is>
          <t>—</t>
        </is>
      </c>
      <c r="Q4" s="6" t="inlineStr">
        <is>
          <t>RF-001</t>
        </is>
      </c>
      <c r="R4" s="6" t="inlineStr">
        <is>
          <t>—</t>
        </is>
      </c>
      <c r="S4" s="4" t="inlineStr">
        <is>
          <t>HU01</t>
        </is>
      </c>
      <c r="T4" s="4" t="inlineStr">
        <is>
          <t>TC-HU01-01..03; Jest authSchemas; Postman auth/registro; Maestro 03</t>
        </is>
      </c>
      <c r="U4" s="6" t="inlineStr">
        <is>
          <t>Implementado</t>
        </is>
      </c>
    </row>
    <row r="5">
      <c r="A5" s="3" t="inlineStr">
        <is>
          <t>RF</t>
        </is>
      </c>
      <c r="B5" s="3" t="inlineStr">
        <is>
          <t>Gestión de Usuarios</t>
        </is>
      </c>
      <c r="C5" s="3" t="inlineStr">
        <is>
          <t>RF-003</t>
        </is>
      </c>
      <c r="D5" s="4" t="inlineStr">
        <is>
          <t>Sesión cifrada y protección de rutas</t>
        </is>
      </c>
      <c r="E5" s="4" t="inlineStr">
        <is>
          <t>La sesión se guarda cifrada en el dispositivo y se renueva sola. Sin sesión activa no se puede entrar al catálogo, la publicación ni el carrito.</t>
        </is>
      </c>
      <c r="F5" s="4" t="inlineStr">
        <is>
          <t>Frontend / Backend</t>
        </is>
      </c>
      <c r="G5" s="5" t="n">
        <v>46313</v>
      </c>
      <c r="H5" s="5" t="n">
        <v>46319</v>
      </c>
      <c r="I5" s="6" t="n">
        <v>7</v>
      </c>
      <c r="J5" s="4" t="inlineStr">
        <is>
          <t>Etapa 1: RF1. expo-secure-store, interceptor de Axios y Stack.Protected en app/_layout.tsx (cerró BUG-06).</t>
        </is>
      </c>
      <c r="K5" s="6" t="inlineStr">
        <is>
          <t>3/1,5/1</t>
        </is>
      </c>
      <c r="L5" s="6" t="inlineStr">
        <is>
          <t>3/2/1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2/1/1</t>
        </is>
      </c>
      <c r="P5" s="6" t="inlineStr">
        <is>
          <t>—</t>
        </is>
      </c>
      <c r="Q5" s="6" t="inlineStr">
        <is>
          <t>RF-001</t>
        </is>
      </c>
      <c r="R5" s="6" t="inlineStr">
        <is>
          <t>—</t>
        </is>
      </c>
      <c r="S5" s="4" t="inlineStr">
        <is>
          <t>HU02</t>
        </is>
      </c>
      <c r="T5" s="4" t="inlineStr">
        <is>
          <t>TC-SES-01..03; Jest secureSessionStorage, interceptor, tokenService</t>
        </is>
      </c>
      <c r="U5" s="6" t="inlineStr">
        <is>
          <t>Implementado</t>
        </is>
      </c>
    </row>
    <row r="6">
      <c r="A6" s="3" t="inlineStr">
        <is>
          <t>RF</t>
        </is>
      </c>
      <c r="B6" s="3" t="inlineStr">
        <is>
          <t>Gestión de Usuarios</t>
        </is>
      </c>
      <c r="C6" s="3" t="inlineStr">
        <is>
          <t>RF-004</t>
        </is>
      </c>
      <c r="D6" s="4" t="inlineStr">
        <is>
          <t>Recuperación de contraseña</t>
        </is>
      </c>
      <c r="E6" s="4" t="inlineStr">
        <is>
          <t>El usuario pide un enlace por correo, lo abre y define una contraseña nueva que cumple las mismas reglas del registro.</t>
        </is>
      </c>
      <c r="F6" s="4" t="inlineStr">
        <is>
          <t>Frontend / Backend</t>
        </is>
      </c>
      <c r="G6" s="5" t="n">
        <v>46318</v>
      </c>
      <c r="H6" s="5" t="n">
        <v>46319</v>
      </c>
      <c r="I6" s="6" t="n">
        <v>2</v>
      </c>
      <c r="J6" s="4" t="inlineStr">
        <is>
          <t>Usa el correo de recuperación de Supabase Auth.</t>
        </is>
      </c>
      <c r="K6" s="6" t="inlineStr">
        <is>
          <t>1/1/0,5</t>
        </is>
      </c>
      <c r="L6" s="6" t="inlineStr">
        <is>
          <t>2/1/0,5</t>
        </is>
      </c>
      <c r="M6" s="6" t="inlineStr">
        <is>
          <t>—</t>
        </is>
      </c>
      <c r="N6" s="6" t="inlineStr">
        <is>
          <t>—</t>
        </is>
      </c>
      <c r="O6" s="6" t="inlineStr">
        <is>
          <t>1/0,5/0,5</t>
        </is>
      </c>
      <c r="P6" s="6" t="inlineStr">
        <is>
          <t>—</t>
        </is>
      </c>
      <c r="Q6" s="6" t="inlineStr">
        <is>
          <t>RF-002</t>
        </is>
      </c>
      <c r="R6" s="6" t="inlineStr">
        <is>
          <t>—</t>
        </is>
      </c>
      <c r="S6" s="4" t="inlineStr">
        <is>
          <t>HU02</t>
        </is>
      </c>
      <c r="T6" s="4" t="inlineStr">
        <is>
          <t>Jest recuperarCuenta</t>
        </is>
      </c>
      <c r="U6" s="6" t="inlineStr">
        <is>
          <t>Implementado</t>
        </is>
      </c>
    </row>
    <row r="7">
      <c r="A7" s="3" t="inlineStr">
        <is>
          <t>RF</t>
        </is>
      </c>
      <c r="B7" s="3" t="inlineStr">
        <is>
          <t>Gestión de Usuarios</t>
        </is>
      </c>
      <c r="C7" s="3" t="inlineStr">
        <is>
          <t>RF-005</t>
        </is>
      </c>
      <c r="D7" s="4" t="inlineStr">
        <is>
          <t>Perfil del usuario</t>
        </is>
      </c>
      <c r="E7" s="4" t="inlineStr">
        <is>
          <t>El usuario ve sus datos, su calificación y accesos a publicaciones, compras, ventas, direcciones y ajustes.</t>
        </is>
      </c>
      <c r="F7" s="4" t="inlineStr">
        <is>
          <t>Frontend</t>
        </is>
      </c>
      <c r="G7" s="5" t="n">
        <v>46275</v>
      </c>
      <c r="H7" s="5" t="n">
        <v>46277</v>
      </c>
      <c r="I7" s="6" t="n">
        <v>3</v>
      </c>
      <c r="J7" s="4" t="inlineStr">
        <is>
          <t>Etapa 1: HU18.</t>
        </is>
      </c>
      <c r="K7" s="6" t="inlineStr">
        <is>
          <t>—</t>
        </is>
      </c>
      <c r="L7" s="6" t="inlineStr">
        <is>
          <t>2/1,5/1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1/0,5/0,5</t>
        </is>
      </c>
      <c r="P7" s="6" t="inlineStr">
        <is>
          <t>—</t>
        </is>
      </c>
      <c r="Q7" s="6" t="inlineStr">
        <is>
          <t>RF-001</t>
        </is>
      </c>
      <c r="R7" s="6" t="inlineStr">
        <is>
          <t>RF-026</t>
        </is>
      </c>
      <c r="S7" s="4" t="inlineStr">
        <is>
          <t>HU18</t>
        </is>
      </c>
      <c r="T7" s="4" t="inlineStr">
        <is>
          <t>Planilla QA (manual)</t>
        </is>
      </c>
      <c r="U7" s="6" t="inlineStr">
        <is>
          <t>Implementado</t>
        </is>
      </c>
    </row>
    <row r="8">
      <c r="A8" s="3" t="inlineStr">
        <is>
          <t>RF</t>
        </is>
      </c>
      <c r="B8" s="3" t="inlineStr">
        <is>
          <t>Gestión de Usuarios</t>
        </is>
      </c>
      <c r="C8" s="3" t="inlineStr">
        <is>
          <t>RF-006</t>
        </is>
      </c>
      <c r="D8" s="4" t="inlineStr">
        <is>
          <t>Edición del perfil</t>
        </is>
      </c>
      <c r="E8" s="4" t="inlineStr">
        <is>
          <t>El usuario cambia su nombre completo y su usuario; el sistema avisa si el usuario ya existe.</t>
        </is>
      </c>
      <c r="F8" s="4" t="inlineStr">
        <is>
          <t>Frontend / Backend / Base de Datos</t>
        </is>
      </c>
      <c r="G8" s="5" t="n">
        <v>46322</v>
      </c>
      <c r="H8" s="5" t="n">
        <v>46322</v>
      </c>
      <c r="I8" s="6" t="n">
        <v>1</v>
      </c>
      <c r="J8" s="4" t="inlineStr">
        <is>
          <t>Etapa 1: HU18 (marca del doc).</t>
        </is>
      </c>
      <c r="K8" s="6" t="inlineStr">
        <is>
          <t>1/0,5/0,5</t>
        </is>
      </c>
      <c r="L8" s="6" t="inlineStr">
        <is>
          <t>1,5/1/0,5</t>
        </is>
      </c>
      <c r="M8" s="6" t="inlineStr">
        <is>
          <t>—</t>
        </is>
      </c>
      <c r="N8" s="6" t="inlineStr">
        <is>
          <t>1/0,5/0,5</t>
        </is>
      </c>
      <c r="O8" s="6" t="inlineStr">
        <is>
          <t>1/0,5/0,5</t>
        </is>
      </c>
      <c r="P8" s="6" t="inlineStr">
        <is>
          <t>—</t>
        </is>
      </c>
      <c r="Q8" s="6" t="inlineStr">
        <is>
          <t>RF-005</t>
        </is>
      </c>
      <c r="R8" s="6" t="inlineStr">
        <is>
          <t>—</t>
        </is>
      </c>
      <c r="S8" s="4" t="inlineStr">
        <is>
          <t>HU18</t>
        </is>
      </c>
      <c r="T8" s="4" t="inlineStr">
        <is>
          <t>Planilla QA (manual)</t>
        </is>
      </c>
      <c r="U8" s="6" t="inlineStr">
        <is>
          <t>Implementado</t>
        </is>
      </c>
    </row>
    <row r="9">
      <c r="A9" s="3" t="inlineStr">
        <is>
          <t>RF</t>
        </is>
      </c>
      <c r="B9" s="3" t="inlineStr">
        <is>
          <t>Catálogo</t>
        </is>
      </c>
      <c r="C9" s="3" t="inlineStr">
        <is>
          <t>RF-007</t>
        </is>
      </c>
      <c r="D9" s="4" t="inlineStr">
        <is>
          <t>Catálogo de prendas</t>
        </is>
      </c>
      <c r="E9" s="4" t="inlineStr">
        <is>
          <t>El Home lista las prendas con imagen, precio y talle, con esqueleto mientras carga y estados vacío, error y con datos.</t>
        </is>
      </c>
      <c r="F9" s="4" t="inlineStr">
        <is>
          <t>Frontend / Backend / Base de Datos</t>
        </is>
      </c>
      <c r="G9" s="5" t="n">
        <v>46249</v>
      </c>
      <c r="H9" s="5" t="n">
        <v>46256</v>
      </c>
      <c r="I9" s="6" t="n">
        <v>8</v>
      </c>
      <c r="J9" s="4" t="inlineStr">
        <is>
          <t>Etapa 1: HU03, RF2, RF5, CA1. FlashList; navegación con pestañas y Stack de Expo Router (RF5).</t>
        </is>
      </c>
      <c r="K9" s="6" t="inlineStr">
        <is>
          <t>2/1/1</t>
        </is>
      </c>
      <c r="L9" s="6" t="inlineStr">
        <is>
          <t>5/3/2</t>
        </is>
      </c>
      <c r="M9" s="6" t="inlineStr">
        <is>
          <t>—</t>
        </is>
      </c>
      <c r="N9" s="6" t="inlineStr">
        <is>
          <t>2/1/1</t>
        </is>
      </c>
      <c r="O9" s="6" t="inlineStr">
        <is>
          <t>2/1/0,5</t>
        </is>
      </c>
      <c r="P9" s="6" t="inlineStr">
        <is>
          <t>2/1/1</t>
        </is>
      </c>
      <c r="Q9" s="6" t="inlineStr">
        <is>
          <t>—</t>
        </is>
      </c>
      <c r="R9" s="6" t="inlineStr">
        <is>
          <t>RF-003</t>
        </is>
      </c>
      <c r="S9" s="4" t="inlineStr">
        <is>
          <t>HU03</t>
        </is>
      </c>
      <c r="T9" s="4" t="inlineStr">
        <is>
          <t>TC-HU03-01..03; Jest useProductos; Postman productos/listar; JMeter catalogo</t>
        </is>
      </c>
      <c r="U9" s="6" t="inlineStr">
        <is>
          <t>Implementado</t>
        </is>
      </c>
    </row>
    <row r="10">
      <c r="A10" s="3" t="inlineStr">
        <is>
          <t>RF</t>
        </is>
      </c>
      <c r="B10" s="3" t="inlineStr">
        <is>
          <t>Catálogo</t>
        </is>
      </c>
      <c r="C10" s="3" t="inlineStr">
        <is>
          <t>RF-008</t>
        </is>
      </c>
      <c r="D10" s="4" t="inlineStr">
        <is>
          <t>Búsqueda y filtros</t>
        </is>
      </c>
      <c r="E10" s="4" t="inlineStr">
        <is>
          <t>El comprador busca por texto y filtra por categoría (leída de la tabla categorías) y por talle.</t>
        </is>
      </c>
      <c r="F10" s="4" t="inlineStr">
        <is>
          <t>Frontend / Backend</t>
        </is>
      </c>
      <c r="G10" s="5" t="n">
        <v>46273</v>
      </c>
      <c r="H10" s="5" t="n">
        <v>46275</v>
      </c>
      <c r="I10" s="6" t="n">
        <v>3</v>
      </c>
      <c r="J10" s="4" t="inlineStr">
        <is>
          <t>Etapa 1: HU04. Cerró BUG-07 (Jeans y Pantalones).</t>
        </is>
      </c>
      <c r="K10" s="6" t="inlineStr">
        <is>
          <t>1/1/0,5</t>
        </is>
      </c>
      <c r="L10" s="6" t="inlineStr">
        <is>
          <t>3/2/1</t>
        </is>
      </c>
      <c r="M10" s="6" t="inlineStr">
        <is>
          <t>—</t>
        </is>
      </c>
      <c r="N10" s="6" t="inlineStr">
        <is>
          <t>—</t>
        </is>
      </c>
      <c r="O10" s="6" t="inlineStr">
        <is>
          <t>1/1/0,5</t>
        </is>
      </c>
      <c r="P10" s="6" t="inlineStr">
        <is>
          <t>—</t>
        </is>
      </c>
      <c r="Q10" s="6" t="inlineStr">
        <is>
          <t>RF-007</t>
        </is>
      </c>
      <c r="R10" s="6" t="inlineStr">
        <is>
          <t>—</t>
        </is>
      </c>
      <c r="S10" s="4" t="inlineStr">
        <is>
          <t>HU04</t>
        </is>
      </c>
      <c r="T10" s="4" t="inlineStr">
        <is>
          <t>TC-HU04-01..03; Maestro 04</t>
        </is>
      </c>
      <c r="U10" s="6" t="inlineStr">
        <is>
          <t>Implementado</t>
        </is>
      </c>
    </row>
    <row r="11">
      <c r="A11" s="3" t="inlineStr">
        <is>
          <t>RF</t>
        </is>
      </c>
      <c r="B11" s="3" t="inlineStr">
        <is>
          <t>Catálogo</t>
        </is>
      </c>
      <c r="C11" s="3" t="inlineStr">
        <is>
          <t>RF-009</t>
        </is>
      </c>
      <c r="D11" s="4" t="inlineStr">
        <is>
          <t>Detalle de la prenda</t>
        </is>
      </c>
      <c r="E11" s="4" t="inlineStr">
        <is>
          <t>El comprador ve fotos, precio con descuento, talles, descripción, disponibilidad y el vendedor de la prenda.</t>
        </is>
      </c>
      <c r="F11" s="4" t="inlineStr">
        <is>
          <t>Frontend</t>
        </is>
      </c>
      <c r="G11" s="5" t="n">
        <v>46268</v>
      </c>
      <c r="H11" s="5" t="n">
        <v>46270</v>
      </c>
      <c r="I11" s="6" t="n">
        <v>3</v>
      </c>
      <c r="J11" s="4" t="inlineStr">
        <is>
          <t>Etapa 1: HU05.</t>
        </is>
      </c>
      <c r="K11" s="6" t="inlineStr">
        <is>
          <t>—</t>
        </is>
      </c>
      <c r="L11" s="6" t="inlineStr">
        <is>
          <t>3/2/1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1/0,5/0,5</t>
        </is>
      </c>
      <c r="P11" s="6" t="inlineStr">
        <is>
          <t>—</t>
        </is>
      </c>
      <c r="Q11" s="6" t="inlineStr">
        <is>
          <t>RF-007</t>
        </is>
      </c>
      <c r="R11" s="6" t="inlineStr">
        <is>
          <t>RF-011</t>
        </is>
      </c>
      <c r="S11" s="4" t="inlineStr">
        <is>
          <t>HU05</t>
        </is>
      </c>
      <c r="T11" s="4" t="inlineStr">
        <is>
          <t>TC-HU05-01; Maestro 06</t>
        </is>
      </c>
      <c r="U11" s="6" t="inlineStr">
        <is>
          <t>Implementado</t>
        </is>
      </c>
    </row>
    <row r="12">
      <c r="A12" s="3" t="inlineStr">
        <is>
          <t>RF</t>
        </is>
      </c>
      <c r="B12" s="3" t="inlineStr">
        <is>
          <t>Catálogo</t>
        </is>
      </c>
      <c r="C12" s="3" t="inlineStr">
        <is>
          <t>RF-010</t>
        </is>
      </c>
      <c r="D12" s="4" t="inlineStr">
        <is>
          <t>Prenda agotada</t>
        </is>
      </c>
      <c r="E12" s="4" t="inlineStr">
        <is>
          <t>Una prenda sin stock aparece al final del Home, en gris, con la insignia AGOTADO y el botón deshabilitado.</t>
        </is>
      </c>
      <c r="F12" s="4" t="inlineStr">
        <is>
          <t>Frontend / Base de Datos</t>
        </is>
      </c>
      <c r="G12" s="5" t="n">
        <v>46322</v>
      </c>
      <c r="H12" s="5" t="n">
        <v>46322</v>
      </c>
      <c r="I12" s="6" t="n">
        <v>1</v>
      </c>
      <c r="J12" s="4" t="inlineStr">
        <is>
          <t>Etapa 1: HU20, CA2. Decisión del 27/10: al final del Home en lugar de ocultas.</t>
        </is>
      </c>
      <c r="K12" s="6" t="inlineStr">
        <is>
          <t>—</t>
        </is>
      </c>
      <c r="L12" s="6" t="inlineStr">
        <is>
          <t>1/1/0,5</t>
        </is>
      </c>
      <c r="M12" s="6" t="inlineStr">
        <is>
          <t>—</t>
        </is>
      </c>
      <c r="N12" s="6" t="inlineStr">
        <is>
          <t>1/0,5/0,5</t>
        </is>
      </c>
      <c r="O12" s="6" t="inlineStr">
        <is>
          <t>1/0,5/0,5</t>
        </is>
      </c>
      <c r="P12" s="6" t="inlineStr">
        <is>
          <t>—</t>
        </is>
      </c>
      <c r="Q12" s="6" t="inlineStr">
        <is>
          <t>RF-007</t>
        </is>
      </c>
      <c r="R12" s="6" t="inlineStr">
        <is>
          <t>—</t>
        </is>
      </c>
      <c r="S12" s="4" t="inlineStr">
        <is>
          <t>HU20</t>
        </is>
      </c>
      <c r="T12" s="4" t="inlineStr">
        <is>
          <t>TC-HU20-01; RNTL TarjetaProducto; Jest useCarritoStore</t>
        </is>
      </c>
      <c r="U12" s="6" t="inlineStr">
        <is>
          <t>Implementado</t>
        </is>
      </c>
    </row>
    <row r="13">
      <c r="A13" s="3" t="inlineStr">
        <is>
          <t>RF</t>
        </is>
      </c>
      <c r="B13" s="3" t="inlineStr">
        <is>
          <t>Catálogo</t>
        </is>
      </c>
      <c r="C13" s="3" t="inlineStr">
        <is>
          <t>RF-011</t>
        </is>
      </c>
      <c r="D13" s="4" t="inlineStr">
        <is>
          <t>Favoritos</t>
        </is>
      </c>
      <c r="E13" s="4" t="inlineStr">
        <is>
          <t>El usuario marca prendas con un corazón y las ve en la pestaña Favoritos.</t>
        </is>
      </c>
      <c r="F13" s="4" t="inlineStr">
        <is>
          <t>Frontend</t>
        </is>
      </c>
      <c r="G13" s="5" t="n">
        <v>46278</v>
      </c>
      <c r="H13" s="5" t="n">
        <v>46279</v>
      </c>
      <c r="I13" s="6" t="n">
        <v>2</v>
      </c>
      <c r="J13" s="4" t="inlineStr">
        <is>
          <t>Sin HU en Etapa 1 (pendiente de agregar).</t>
        </is>
      </c>
      <c r="K13" s="6" t="inlineStr">
        <is>
          <t>—</t>
        </is>
      </c>
      <c r="L13" s="6" t="inlineStr">
        <is>
          <t>2/1/1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1/0,5/0,5</t>
        </is>
      </c>
      <c r="P13" s="6" t="inlineStr">
        <is>
          <t>—</t>
        </is>
      </c>
      <c r="Q13" s="6" t="inlineStr">
        <is>
          <t>RF-009</t>
        </is>
      </c>
      <c r="R13" s="6" t="inlineStr">
        <is>
          <t>—</t>
        </is>
      </c>
      <c r="S13" s="4" t="inlineStr">
        <is>
          <t>—</t>
        </is>
      </c>
      <c r="T13" s="4" t="inlineStr">
        <is>
          <t>TC-HU05-01; Maestro 06</t>
        </is>
      </c>
      <c r="U13" s="6" t="inlineStr">
        <is>
          <t>Implementado</t>
        </is>
      </c>
    </row>
    <row r="14">
      <c r="A14" s="3" t="inlineStr">
        <is>
          <t>RF</t>
        </is>
      </c>
      <c r="B14" s="3" t="inlineStr">
        <is>
          <t>Publicaciones</t>
        </is>
      </c>
      <c r="C14" s="3" t="inlineStr">
        <is>
          <t>RF-012</t>
        </is>
      </c>
      <c r="D14" s="4" t="inlineStr">
        <is>
          <t>Publicación de prendas</t>
        </is>
      </c>
      <c r="E14" s="4" t="inlineStr">
        <is>
          <t>El vendedor carga título, descripción (hasta 30 caracteres), precio (35.000 o 35,50), categoría, talles por chips y hasta 5 fotos desde la cámara o la galería.</t>
        </is>
      </c>
      <c r="F14" s="4" t="inlineStr">
        <is>
          <t>Frontend / Backend / Base de Datos</t>
        </is>
      </c>
      <c r="G14" s="5" t="n">
        <v>46275</v>
      </c>
      <c r="H14" s="5" t="n">
        <v>46279</v>
      </c>
      <c r="I14" s="6" t="n">
        <v>5</v>
      </c>
      <c r="J14" s="4" t="inlineStr">
        <is>
          <t>Etapa 1: HU06, RF3. Zod + RHF, imágenes en Supabase Storage.</t>
        </is>
      </c>
      <c r="K14" s="6" t="inlineStr">
        <is>
          <t>2/1/1</t>
        </is>
      </c>
      <c r="L14" s="6" t="inlineStr">
        <is>
          <t>4/3/2</t>
        </is>
      </c>
      <c r="M14" s="6" t="inlineStr">
        <is>
          <t>2/1/0,5</t>
        </is>
      </c>
      <c r="N14" s="6" t="inlineStr">
        <is>
          <t>1/1/0,5</t>
        </is>
      </c>
      <c r="O14" s="6" t="inlineStr">
        <is>
          <t>2/1/1</t>
        </is>
      </c>
      <c r="P14" s="6" t="inlineStr">
        <is>
          <t>—</t>
        </is>
      </c>
      <c r="Q14" s="6" t="inlineStr">
        <is>
          <t>RF-001, RF-007</t>
        </is>
      </c>
      <c r="R14" s="6" t="inlineStr">
        <is>
          <t>—</t>
        </is>
      </c>
      <c r="S14" s="4" t="inlineStr">
        <is>
          <t>HU06</t>
        </is>
      </c>
      <c r="T14" s="4" t="inlineStr">
        <is>
          <t>TC-HU06-01..03; TC-HW-01, 02; Jest productoSchema, precio</t>
        </is>
      </c>
      <c r="U14" s="6" t="inlineStr">
        <is>
          <t>Implementado</t>
        </is>
      </c>
    </row>
    <row r="15">
      <c r="A15" s="3" t="inlineStr">
        <is>
          <t>RF</t>
        </is>
      </c>
      <c r="B15" s="3" t="inlineStr">
        <is>
          <t>Publicaciones</t>
        </is>
      </c>
      <c r="C15" s="3" t="inlineStr">
        <is>
          <t>RF-013</t>
        </is>
      </c>
      <c r="D15" s="4" t="inlineStr">
        <is>
          <t>Borradores sin conexión</t>
        </is>
      </c>
      <c r="E15" s="4" t="inlineStr">
        <is>
          <t>Si se corta la conexión mientras se publica, el formulario queda guardado (sin fotos) durante 7 días y se recupera al volver.</t>
        </is>
      </c>
      <c r="F15" s="4" t="inlineStr">
        <is>
          <t>Frontend</t>
        </is>
      </c>
      <c r="G15" s="5" t="n">
        <v>46313</v>
      </c>
      <c r="H15" s="5" t="n">
        <v>46322</v>
      </c>
      <c r="I15" s="6" t="n">
        <v>10</v>
      </c>
      <c r="J15" s="4" t="inlineStr">
        <is>
          <t>Etapa 1: HU16.</t>
        </is>
      </c>
      <c r="K15" s="6" t="inlineStr">
        <is>
          <t>—</t>
        </is>
      </c>
      <c r="L15" s="6" t="inlineStr">
        <is>
          <t>2/1/1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1/1/0,5</t>
        </is>
      </c>
      <c r="P15" s="6" t="inlineStr">
        <is>
          <t>—</t>
        </is>
      </c>
      <c r="Q15" s="6" t="inlineStr">
        <is>
          <t>RF-012</t>
        </is>
      </c>
      <c r="R15" s="6" t="inlineStr">
        <is>
          <t>RF-039</t>
        </is>
      </c>
      <c r="S15" s="4" t="inlineStr">
        <is>
          <t>HU16</t>
        </is>
      </c>
      <c r="T15" s="4" t="inlineStr">
        <is>
          <t>TC-HU16-01 (manual, modo avión)</t>
        </is>
      </c>
      <c r="U15" s="6" t="inlineStr">
        <is>
          <t>Implementado</t>
        </is>
      </c>
    </row>
    <row r="16">
      <c r="A16" s="3" t="inlineStr">
        <is>
          <t>RF</t>
        </is>
      </c>
      <c r="B16" s="3" t="inlineStr">
        <is>
          <t>Publicaciones</t>
        </is>
      </c>
      <c r="C16" s="3" t="inlineStr">
        <is>
          <t>RF-014</t>
        </is>
      </c>
      <c r="D16" s="4" t="inlineStr">
        <is>
          <t>Comisión de NEW YOU</t>
        </is>
      </c>
      <c r="E16" s="4" t="inlineStr">
        <is>
          <t>Junto al precio, un ícono ⓘ explica la comisión del 10% (IVA incluido) que paga el vendedor y cuánto recibe.</t>
        </is>
      </c>
      <c r="F16" s="4" t="inlineStr">
        <is>
          <t>Frontend</t>
        </is>
      </c>
      <c r="G16" s="5" t="n">
        <v>46322</v>
      </c>
      <c r="H16" s="5" t="n">
        <v>46322</v>
      </c>
      <c r="I16" s="6" t="n">
        <v>1</v>
      </c>
      <c r="J16" s="4" t="inlineStr">
        <is>
          <t>Etapa 1: RF6.</t>
        </is>
      </c>
      <c r="K16" s="6" t="inlineStr">
        <is>
          <t>—</t>
        </is>
      </c>
      <c r="L16" s="6" t="inlineStr">
        <is>
          <t>1/0,5/0,5</t>
        </is>
      </c>
      <c r="M16" s="6" t="inlineStr">
        <is>
          <t>—</t>
        </is>
      </c>
      <c r="N16" s="6" t="inlineStr">
        <is>
          <t>—</t>
        </is>
      </c>
      <c r="O16" s="6" t="inlineStr">
        <is>
          <t>1/0,5/0,5</t>
        </is>
      </c>
      <c r="P16" s="6" t="inlineStr">
        <is>
          <t>1/0,5/0,5</t>
        </is>
      </c>
      <c r="Q16" s="6" t="inlineStr">
        <is>
          <t>RF-012</t>
        </is>
      </c>
      <c r="R16" s="6" t="inlineStr">
        <is>
          <t>—</t>
        </is>
      </c>
      <c r="S16" s="4" t="inlineStr">
        <is>
          <t>HU06</t>
        </is>
      </c>
      <c r="T16" s="4" t="inlineStr">
        <is>
          <t>Jest precio</t>
        </is>
      </c>
      <c r="U16" s="6" t="inlineStr">
        <is>
          <t>Implementado</t>
        </is>
      </c>
    </row>
    <row r="17">
      <c r="A17" s="3" t="inlineStr">
        <is>
          <t>RF</t>
        </is>
      </c>
      <c r="B17" s="3" t="inlineStr">
        <is>
          <t>Publicaciones</t>
        </is>
      </c>
      <c r="C17" s="3" t="inlineStr">
        <is>
          <t>RF-015</t>
        </is>
      </c>
      <c r="D17" s="4" t="inlineStr">
        <is>
          <t>Administración de publicaciones</t>
        </is>
      </c>
      <c r="E17" s="4" t="inlineStr">
        <is>
          <t>El vendedor ve sus prendas y puede editarlas o eliminarlas (deslizando); nadie puede editar prendas ajenas.</t>
        </is>
      </c>
      <c r="F17" s="4" t="inlineStr">
        <is>
          <t>Frontend / Backend / Base de Datos</t>
        </is>
      </c>
      <c r="G17" s="5" t="n">
        <v>46278</v>
      </c>
      <c r="H17" s="5" t="n">
        <v>46319</v>
      </c>
      <c r="I17" s="6" t="n">
        <v>42</v>
      </c>
      <c r="J17" s="4" t="inlineStr">
        <is>
          <t>Etapa 1: HU08, RNF3. Cerró BUG-01, BUG-02 y BUG-05.</t>
        </is>
      </c>
      <c r="K17" s="6" t="inlineStr">
        <is>
          <t>2/1/1</t>
        </is>
      </c>
      <c r="L17" s="6" t="inlineStr">
        <is>
          <t>3/2/1</t>
        </is>
      </c>
      <c r="M17" s="6" t="inlineStr">
        <is>
          <t>—</t>
        </is>
      </c>
      <c r="N17" s="6" t="inlineStr">
        <is>
          <t>2/1/1</t>
        </is>
      </c>
      <c r="O17" s="6" t="inlineStr">
        <is>
          <t>2/1/1</t>
        </is>
      </c>
      <c r="P17" s="6" t="inlineStr">
        <is>
          <t>—</t>
        </is>
      </c>
      <c r="Q17" s="6" t="inlineStr">
        <is>
          <t>RF-012</t>
        </is>
      </c>
      <c r="R17" s="6" t="inlineStr">
        <is>
          <t>—</t>
        </is>
      </c>
      <c r="S17" s="4" t="inlineStr">
        <is>
          <t>HU08</t>
        </is>
      </c>
      <c r="T17" s="4" t="inlineStr">
        <is>
          <t>TC-HU08-01, 02; Postman negativos/editar ajeno</t>
        </is>
      </c>
      <c r="U17" s="6" t="inlineStr">
        <is>
          <t>Implementado</t>
        </is>
      </c>
    </row>
    <row r="18">
      <c r="A18" s="3" t="inlineStr">
        <is>
          <t>RF</t>
        </is>
      </c>
      <c r="B18" s="3" t="inlineStr">
        <is>
          <t>Publicaciones</t>
        </is>
      </c>
      <c r="C18" s="3" t="inlineStr">
        <is>
          <t>RF-016</t>
        </is>
      </c>
      <c r="D18" s="4" t="inlineStr">
        <is>
          <t>Stock por talle y por sede</t>
        </is>
      </c>
      <c r="E18" s="4" t="inlineStr">
        <is>
          <t>Las tiendas cargan stock por talle y por sede; el disponible se calcula sumando las sedes.</t>
        </is>
      </c>
      <c r="F18" s="4" t="inlineStr">
        <is>
          <t>Backend / Base de Datos</t>
        </is>
      </c>
      <c r="G18" s="5" t="n">
        <v>46318</v>
      </c>
      <c r="H18" s="5" t="n">
        <v>46319</v>
      </c>
      <c r="I18" s="6" t="n">
        <v>2</v>
      </c>
      <c r="J18" s="4" t="inlineStr">
        <is>
          <t>Etapa 1: HU07. Migración 08.</t>
        </is>
      </c>
      <c r="K18" s="6" t="inlineStr">
        <is>
          <t>2/1/1</t>
        </is>
      </c>
      <c r="L18" s="6" t="inlineStr">
        <is>
          <t>2/1/1</t>
        </is>
      </c>
      <c r="M18" s="6" t="inlineStr">
        <is>
          <t>—</t>
        </is>
      </c>
      <c r="N18" s="6" t="inlineStr">
        <is>
          <t>2/1,5/1</t>
        </is>
      </c>
      <c r="O18" s="6" t="inlineStr">
        <is>
          <t>1/1/0,5</t>
        </is>
      </c>
      <c r="P18" s="6" t="inlineStr">
        <is>
          <t>—</t>
        </is>
      </c>
      <c r="Q18" s="6" t="inlineStr">
        <is>
          <t>RF-012, RF-032</t>
        </is>
      </c>
      <c r="R18" s="6" t="inlineStr">
        <is>
          <t>—</t>
        </is>
      </c>
      <c r="S18" s="4" t="inlineStr">
        <is>
          <t>HU07</t>
        </is>
      </c>
      <c r="T18" s="4" t="inlineStr">
        <is>
          <t>TC-HU07-01; Jest empresas</t>
        </is>
      </c>
      <c r="U18" s="6" t="inlineStr">
        <is>
          <t>Implementado</t>
        </is>
      </c>
    </row>
    <row r="19">
      <c r="A19" s="3" t="inlineStr">
        <is>
          <t>RF</t>
        </is>
      </c>
      <c r="B19" s="3" t="inlineStr">
        <is>
          <t>Publicaciones</t>
        </is>
      </c>
      <c r="C19" s="3" t="inlineStr">
        <is>
          <t>RF-017</t>
        </is>
      </c>
      <c r="D19" s="4" t="inlineStr">
        <is>
          <t>Descuentos y promociones</t>
        </is>
      </c>
      <c r="E19" s="4" t="inlineStr">
        <is>
          <t>El vendedor puede poner un porcentaje de descuento; el Home tiene un filtro de promociones.</t>
        </is>
      </c>
      <c r="F19" s="4" t="inlineStr">
        <is>
          <t>Frontend / Backend / Base de Datos</t>
        </is>
      </c>
      <c r="G19" s="5" t="n">
        <v>46319</v>
      </c>
      <c r="H19" s="5" t="n">
        <v>46319</v>
      </c>
      <c r="I19" s="6" t="n">
        <v>1</v>
      </c>
      <c r="J19" s="4" t="inlineStr">
        <is>
          <t>Migración 13.</t>
        </is>
      </c>
      <c r="K19" s="6" t="inlineStr">
        <is>
          <t>1/1/0,5</t>
        </is>
      </c>
      <c r="L19" s="6" t="inlineStr">
        <is>
          <t>1/1/0,5</t>
        </is>
      </c>
      <c r="M19" s="6" t="inlineStr">
        <is>
          <t>—</t>
        </is>
      </c>
      <c r="N19" s="6" t="inlineStr">
        <is>
          <t>1/0,5/0,5</t>
        </is>
      </c>
      <c r="O19" s="6" t="inlineStr">
        <is>
          <t>1/0,5/0,5</t>
        </is>
      </c>
      <c r="P19" s="6" t="inlineStr">
        <is>
          <t>—</t>
        </is>
      </c>
      <c r="Q19" s="6" t="inlineStr">
        <is>
          <t>RF-012</t>
        </is>
      </c>
      <c r="R19" s="6" t="inlineStr">
        <is>
          <t>—</t>
        </is>
      </c>
      <c r="S19" s="4" t="inlineStr">
        <is>
          <t>HU04</t>
        </is>
      </c>
      <c r="T19" s="4" t="inlineStr">
        <is>
          <t>TC-HU04-03; TC-HU13-01</t>
        </is>
      </c>
      <c r="U19" s="6" t="inlineStr">
        <is>
          <t>Implementado</t>
        </is>
      </c>
    </row>
    <row r="20">
      <c r="A20" s="3" t="inlineStr">
        <is>
          <t>RF</t>
        </is>
      </c>
      <c r="B20" s="3" t="inlineStr">
        <is>
          <t>Carrito y compra</t>
        </is>
      </c>
      <c r="C20" s="3" t="inlineStr">
        <is>
          <t>RF-018</t>
        </is>
      </c>
      <c r="D20" s="4" t="inlineStr">
        <is>
          <t>Carrito de compras</t>
        </is>
      </c>
      <c r="E20" s="4" t="inlineStr">
        <is>
          <t>El comprador agrega prendas, cambia cantidades sin superar el stock, elimina ítems y ve subtotal, envío y total.</t>
        </is>
      </c>
      <c r="F20" s="4" t="inlineStr">
        <is>
          <t>Frontend</t>
        </is>
      </c>
      <c r="G20" s="5" t="n">
        <v>46273</v>
      </c>
      <c r="H20" s="5" t="n">
        <v>46277</v>
      </c>
      <c r="I20" s="6" t="n">
        <v>5</v>
      </c>
      <c r="J20" s="4" t="inlineStr">
        <is>
          <t>Etapa 1: HU09, HU10, RF4. Zustand.</t>
        </is>
      </c>
      <c r="K20" s="6" t="inlineStr">
        <is>
          <t>—</t>
        </is>
      </c>
      <c r="L20" s="6" t="inlineStr">
        <is>
          <t>3/2/2</t>
        </is>
      </c>
      <c r="M20" s="6" t="inlineStr">
        <is>
          <t>—</t>
        </is>
      </c>
      <c r="N20" s="6" t="inlineStr">
        <is>
          <t>—</t>
        </is>
      </c>
      <c r="O20" s="6" t="inlineStr">
        <is>
          <t>1,5/1/0,5</t>
        </is>
      </c>
      <c r="P20" s="6" t="inlineStr">
        <is>
          <t>—</t>
        </is>
      </c>
      <c r="Q20" s="6" t="inlineStr">
        <is>
          <t>RF-009</t>
        </is>
      </c>
      <c r="R20" s="6" t="inlineStr">
        <is>
          <t>—</t>
        </is>
      </c>
      <c r="S20" s="4" t="inlineStr">
        <is>
          <t>HU09, HU10</t>
        </is>
      </c>
      <c r="T20" s="4" t="inlineStr">
        <is>
          <t>TC-HU09-01, 02; TC-HU10-01; Jest useCarritoStore; Maestro 04</t>
        </is>
      </c>
      <c r="U20" s="6" t="inlineStr">
        <is>
          <t>Implementado</t>
        </is>
      </c>
    </row>
    <row r="21">
      <c r="A21" s="3" t="inlineStr">
        <is>
          <t>RF</t>
        </is>
      </c>
      <c r="B21" s="3" t="inlineStr">
        <is>
          <t>Carrito y compra</t>
        </is>
      </c>
      <c r="C21" s="3" t="inlineStr">
        <is>
          <t>RF-019</t>
        </is>
      </c>
      <c r="D21" s="4" t="inlineStr">
        <is>
          <t>Forma de entrega y direcciones</t>
        </is>
      </c>
      <c r="E21" s="4" t="inlineStr">
        <is>
          <t>El comprador elige retiro o envío; para envío usa una dirección guardada, el GPS o la escribe a mano.</t>
        </is>
      </c>
      <c r="F21" s="4" t="inlineStr">
        <is>
          <t>Frontend / Backend / Base de Datos</t>
        </is>
      </c>
      <c r="G21" s="5" t="n">
        <v>46313</v>
      </c>
      <c r="H21" s="5" t="n">
        <v>46315</v>
      </c>
      <c r="I21" s="6" t="n">
        <v>3</v>
      </c>
      <c r="J21" s="4" t="inlineStr">
        <is>
          <t>Etapa 1: HU11, HU17. Migraciones 03 y 04.</t>
        </is>
      </c>
      <c r="K21" s="6" t="inlineStr">
        <is>
          <t>1/1/0,5</t>
        </is>
      </c>
      <c r="L21" s="6" t="inlineStr">
        <is>
          <t>3/2/1</t>
        </is>
      </c>
      <c r="M21" s="6" t="inlineStr">
        <is>
          <t>—</t>
        </is>
      </c>
      <c r="N21" s="6" t="inlineStr">
        <is>
          <t>1/1/0,5</t>
        </is>
      </c>
      <c r="O21" s="6" t="inlineStr">
        <is>
          <t>1/1/0,5</t>
        </is>
      </c>
      <c r="P21" s="6" t="inlineStr">
        <is>
          <t>—</t>
        </is>
      </c>
      <c r="Q21" s="6" t="inlineStr">
        <is>
          <t>RF-018</t>
        </is>
      </c>
      <c r="R21" s="6" t="inlineStr">
        <is>
          <t>RF-024</t>
        </is>
      </c>
      <c r="S21" s="4" t="inlineStr">
        <is>
          <t>HU11, HU17</t>
        </is>
      </c>
      <c r="T21" s="4" t="inlineStr">
        <is>
          <t>TC-HU11-01; Jest pedidos (calcularEnvio)</t>
        </is>
      </c>
      <c r="U21" s="6" t="inlineStr">
        <is>
          <t>Implementado</t>
        </is>
      </c>
    </row>
    <row r="22">
      <c r="A22" s="3" t="inlineStr">
        <is>
          <t>RF</t>
        </is>
      </c>
      <c r="B22" s="3" t="inlineStr">
        <is>
          <t>Carrito y compra</t>
        </is>
      </c>
      <c r="C22" s="3" t="inlineStr">
        <is>
          <t>RF-020</t>
        </is>
      </c>
      <c r="D22" s="4" t="inlineStr">
        <is>
          <t>Medio de pago simulado</t>
        </is>
      </c>
      <c r="E22" s="4" t="inlineStr">
        <is>
          <t>El comprador elige el medio de pago; el pago es lógico, sin pasarela real (Won't W1).</t>
        </is>
      </c>
      <c r="F22" s="4" t="inlineStr">
        <is>
          <t>Frontend</t>
        </is>
      </c>
      <c r="G22" s="5" t="n">
        <v>46313</v>
      </c>
      <c r="H22" s="5" t="n">
        <v>46313</v>
      </c>
      <c r="I22" s="6" t="n">
        <v>1</v>
      </c>
      <c r="J22" s="4" t="inlineStr">
        <is>
          <t>Etapa 1: HU12.</t>
        </is>
      </c>
      <c r="K22" s="6" t="inlineStr">
        <is>
          <t>—</t>
        </is>
      </c>
      <c r="L22" s="6" t="inlineStr">
        <is>
          <t>1/0,5/0,5</t>
        </is>
      </c>
      <c r="M22" s="6" t="inlineStr">
        <is>
          <t>—</t>
        </is>
      </c>
      <c r="N22" s="6" t="inlineStr">
        <is>
          <t>—</t>
        </is>
      </c>
      <c r="O22" s="6" t="inlineStr">
        <is>
          <t>1/0,5/0,5</t>
        </is>
      </c>
      <c r="P22" s="6" t="inlineStr">
        <is>
          <t>—</t>
        </is>
      </c>
      <c r="Q22" s="6" t="inlineStr">
        <is>
          <t>RF-018</t>
        </is>
      </c>
      <c r="R22" s="6" t="inlineStr">
        <is>
          <t>—</t>
        </is>
      </c>
      <c r="S22" s="4" t="inlineStr">
        <is>
          <t>HU12</t>
        </is>
      </c>
      <c r="T22" s="4" t="inlineStr">
        <is>
          <t>TC-HU12-01; Maestro 05</t>
        </is>
      </c>
      <c r="U22" s="6" t="inlineStr">
        <is>
          <t>Implementado</t>
        </is>
      </c>
    </row>
    <row r="23">
      <c r="A23" s="3" t="inlineStr">
        <is>
          <t>RF</t>
        </is>
      </c>
      <c r="B23" s="3" t="inlineStr">
        <is>
          <t>Carrito y compra</t>
        </is>
      </c>
      <c r="C23" s="3" t="inlineStr">
        <is>
          <t>RF-021</t>
        </is>
      </c>
      <c r="D23" s="4" t="inlineStr">
        <is>
          <t>Resumen y confirmación de compra</t>
        </is>
      </c>
      <c r="E23" s="4" t="inlineStr">
        <is>
          <t>El comprador ve el resumen; el servidor recalcula el total, descuenta stock en una sola transacción y devuelve un código único. Repetir el pedido no lo duplica.</t>
        </is>
      </c>
      <c r="F23" s="4" t="inlineStr">
        <is>
          <t>Backend / Base de Datos</t>
        </is>
      </c>
      <c r="G23" s="5" t="n">
        <v>46313</v>
      </c>
      <c r="H23" s="5" t="n">
        <v>46322</v>
      </c>
      <c r="I23" s="6" t="n">
        <v>10</v>
      </c>
      <c r="J23" s="4" t="inlineStr">
        <is>
          <t>Etapa 1: HU13, HU14. Función confirmar_compra con operation_key (cerró BUG-03 y BUG-04).</t>
        </is>
      </c>
      <c r="K23" s="6" t="inlineStr">
        <is>
          <t>3/2/1</t>
        </is>
      </c>
      <c r="L23" s="6" t="inlineStr">
        <is>
          <t>2/1/1</t>
        </is>
      </c>
      <c r="M23" s="6" t="inlineStr">
        <is>
          <t>—</t>
        </is>
      </c>
      <c r="N23" s="6" t="inlineStr">
        <is>
          <t>3/2/1</t>
        </is>
      </c>
      <c r="O23" s="6" t="inlineStr">
        <is>
          <t>2/1,5/1</t>
        </is>
      </c>
      <c r="P23" s="6" t="inlineStr">
        <is>
          <t>—</t>
        </is>
      </c>
      <c r="Q23" s="6" t="inlineStr">
        <is>
          <t>RF-019, RF-020, RF-016</t>
        </is>
      </c>
      <c r="R23" s="6" t="inlineStr">
        <is>
          <t>—</t>
        </is>
      </c>
      <c r="S23" s="4" t="inlineStr">
        <is>
          <t>HU13, HU14</t>
        </is>
      </c>
      <c r="T23" s="4" t="inlineStr">
        <is>
          <t>TC-HU13-01; TC-HU14-01, 02; Postman checkout, concurrencia; Maestro 05</t>
        </is>
      </c>
      <c r="U23" s="6" t="inlineStr">
        <is>
          <t>Implementado</t>
        </is>
      </c>
    </row>
    <row r="24">
      <c r="A24" s="3" t="inlineStr">
        <is>
          <t>RF</t>
        </is>
      </c>
      <c r="B24" s="3" t="inlineStr">
        <is>
          <t>Carrito y compra</t>
        </is>
      </c>
      <c r="C24" s="3" t="inlineStr">
        <is>
          <t>RF-022</t>
        </is>
      </c>
      <c r="D24" s="4" t="inlineStr">
        <is>
          <t>Correo de confirmación de compra</t>
        </is>
      </c>
      <c r="E24" s="4" t="inlineStr">
        <is>
          <t>Al confirmar, el comprador recibe un correo con el código, los productos y los datos de entrega.</t>
        </is>
      </c>
      <c r="F24" s="4" t="inlineStr">
        <is>
          <t>Backend / Implementación</t>
        </is>
      </c>
      <c r="G24" s="5" t="n">
        <v>46322</v>
      </c>
      <c r="H24" s="5" t="n">
        <v>46322</v>
      </c>
      <c r="I24" s="6" t="n">
        <v>1</v>
      </c>
      <c r="J24" s="4" t="inlineStr">
        <is>
          <t>Edge Function enviar-correo-compra con Resend.</t>
        </is>
      </c>
      <c r="K24" s="6" t="inlineStr">
        <is>
          <t>1/1/0,5</t>
        </is>
      </c>
      <c r="L24" s="6" t="inlineStr">
        <is>
          <t>—</t>
        </is>
      </c>
      <c r="M24" s="6" t="inlineStr">
        <is>
          <t>1/0,5/0,5</t>
        </is>
      </c>
      <c r="N24" s="6" t="inlineStr">
        <is>
          <t>—</t>
        </is>
      </c>
      <c r="O24" s="6" t="inlineStr">
        <is>
          <t>1/0,5/0,5</t>
        </is>
      </c>
      <c r="P24" s="6" t="inlineStr">
        <is>
          <t>—</t>
        </is>
      </c>
      <c r="Q24" s="6" t="inlineStr">
        <is>
          <t>RF-021</t>
        </is>
      </c>
      <c r="R24" s="6" t="inlineStr">
        <is>
          <t>—</t>
        </is>
      </c>
      <c r="S24" s="4" t="inlineStr">
        <is>
          <t>HU14</t>
        </is>
      </c>
      <c r="T24" s="4" t="inlineStr">
        <is>
          <t>Planilla QA (manual)</t>
        </is>
      </c>
      <c r="U24" s="6" t="inlineStr">
        <is>
          <t>Implementado</t>
        </is>
      </c>
    </row>
    <row r="25">
      <c r="A25" s="3" t="inlineStr">
        <is>
          <t>RF</t>
        </is>
      </c>
      <c r="B25" s="3" t="inlineStr">
        <is>
          <t>Carrito y compra</t>
        </is>
      </c>
      <c r="C25" s="3" t="inlineStr">
        <is>
          <t>RF-023</t>
        </is>
      </c>
      <c r="D25" s="4" t="inlineStr">
        <is>
          <t>Historial de compras</t>
        </is>
      </c>
      <c r="E25" s="4" t="inlineStr">
        <is>
          <t>El comprador ve sus compras con estado, fecha y total.</t>
        </is>
      </c>
      <c r="F25" s="4" t="inlineStr">
        <is>
          <t>Frontend / Base de Datos</t>
        </is>
      </c>
      <c r="G25" s="5" t="n">
        <v>46279</v>
      </c>
      <c r="H25" s="5" t="n">
        <v>46313</v>
      </c>
      <c r="I25" s="6" t="n">
        <v>35</v>
      </c>
      <c r="J25" s="4" t="inlineStr">
        <is>
          <t>Migración 02.</t>
        </is>
      </c>
      <c r="K25" s="6" t="inlineStr">
        <is>
          <t>—</t>
        </is>
      </c>
      <c r="L25" s="6" t="inlineStr">
        <is>
          <t>2/1/1</t>
        </is>
      </c>
      <c r="M25" s="6" t="inlineStr">
        <is>
          <t>—</t>
        </is>
      </c>
      <c r="N25" s="6" t="inlineStr">
        <is>
          <t>1/0,5/0,5</t>
        </is>
      </c>
      <c r="O25" s="6" t="inlineStr">
        <is>
          <t>1/0,5/0,5</t>
        </is>
      </c>
      <c r="P25" s="6" t="inlineStr">
        <is>
          <t>—</t>
        </is>
      </c>
      <c r="Q25" s="6" t="inlineStr">
        <is>
          <t>RF-021</t>
        </is>
      </c>
      <c r="R25" s="6" t="inlineStr">
        <is>
          <t>—</t>
        </is>
      </c>
      <c r="S25" s="4" t="inlineStr">
        <is>
          <t>—</t>
        </is>
      </c>
      <c r="T25" s="4" t="inlineStr">
        <is>
          <t>Planilla QA (manual)</t>
        </is>
      </c>
      <c r="U25" s="6" t="inlineStr">
        <is>
          <t>Implementado</t>
        </is>
      </c>
    </row>
    <row r="26">
      <c r="A26" s="3" t="inlineStr">
        <is>
          <t>RF</t>
        </is>
      </c>
      <c r="B26" s="3" t="inlineStr">
        <is>
          <t>Ubicación</t>
        </is>
      </c>
      <c r="C26" s="3" t="inlineStr">
        <is>
          <t>RF-024</t>
        </is>
      </c>
      <c r="D26" s="4" t="inlineStr">
        <is>
          <t>Geolocalización y mapa</t>
        </is>
      </c>
      <c r="E26" s="4" t="inlineStr">
        <is>
          <t>El GPS completa la dirección con aviso de precisión; si falla, se escribe a mano y se ve en un mapa de OpenStreetMap.</t>
        </is>
      </c>
      <c r="F26" s="4" t="inlineStr">
        <is>
          <t>Frontend / Implementación</t>
        </is>
      </c>
      <c r="G26" s="5" t="n">
        <v>46313</v>
      </c>
      <c r="H26" s="5" t="n">
        <v>46319</v>
      </c>
      <c r="I26" s="6" t="n">
        <v>7</v>
      </c>
      <c r="J26" s="4" t="inlineStr">
        <is>
          <t>Etapa 1: HU17, Should S1. Se pasó de Google Maps a OpenStreetMap por costo.</t>
        </is>
      </c>
      <c r="K26" s="6" t="inlineStr">
        <is>
          <t>—</t>
        </is>
      </c>
      <c r="L26" s="6" t="inlineStr">
        <is>
          <t>3/2/1</t>
        </is>
      </c>
      <c r="M26" s="6" t="inlineStr">
        <is>
          <t>2/1/1</t>
        </is>
      </c>
      <c r="N26" s="6" t="inlineStr">
        <is>
          <t>—</t>
        </is>
      </c>
      <c r="O26" s="6" t="inlineStr">
        <is>
          <t>1/1/0,5</t>
        </is>
      </c>
      <c r="P26" s="6" t="inlineStr">
        <is>
          <t>—</t>
        </is>
      </c>
      <c r="Q26" s="6" t="inlineStr">
        <is>
          <t>—</t>
        </is>
      </c>
      <c r="R26" s="6" t="inlineStr">
        <is>
          <t>—</t>
        </is>
      </c>
      <c r="S26" s="4" t="inlineStr">
        <is>
          <t>HU17</t>
        </is>
      </c>
      <c r="T26" s="4" t="inlineStr">
        <is>
          <t>Jest VerEnMapa</t>
        </is>
      </c>
      <c r="U26" s="6" t="inlineStr">
        <is>
          <t>Implementado</t>
        </is>
      </c>
    </row>
    <row r="27">
      <c r="A27" s="3" t="inlineStr">
        <is>
          <t>RF</t>
        </is>
      </c>
      <c r="B27" s="3" t="inlineStr">
        <is>
          <t>Vendedores y pedidos</t>
        </is>
      </c>
      <c r="C27" s="3" t="inlineStr">
        <is>
          <t>RF-025</t>
        </is>
      </c>
      <c r="D27" s="4" t="inlineStr">
        <is>
          <t>Mis ventas y estado de pedidos</t>
        </is>
      </c>
      <c r="E27" s="4" t="inlineStr">
        <is>
          <t>El vendedor ve sus ventas y cambia el estado del pedido (preparando, enviado, entregado).</t>
        </is>
      </c>
      <c r="F27" s="4" t="inlineStr">
        <is>
          <t>Frontend / Backend / Base de Datos</t>
        </is>
      </c>
      <c r="G27" s="5" t="n">
        <v>46313</v>
      </c>
      <c r="H27" s="5" t="n">
        <v>46318</v>
      </c>
      <c r="I27" s="6" t="n">
        <v>6</v>
      </c>
      <c r="J27" s="4" t="inlineStr">
        <is>
          <t>Migraciones 10 y 11.</t>
        </is>
      </c>
      <c r="K27" s="6" t="inlineStr">
        <is>
          <t>2/1/1</t>
        </is>
      </c>
      <c r="L27" s="6" t="inlineStr">
        <is>
          <t>2/1/1</t>
        </is>
      </c>
      <c r="M27" s="6" t="inlineStr">
        <is>
          <t>—</t>
        </is>
      </c>
      <c r="N27" s="6" t="inlineStr">
        <is>
          <t>1/1/0,5</t>
        </is>
      </c>
      <c r="O27" s="6" t="inlineStr">
        <is>
          <t>1/1/0,5</t>
        </is>
      </c>
      <c r="P27" s="6" t="inlineStr">
        <is>
          <t>—</t>
        </is>
      </c>
      <c r="Q27" s="6" t="inlineStr">
        <is>
          <t>RF-021</t>
        </is>
      </c>
      <c r="R27" s="6" t="inlineStr">
        <is>
          <t>—</t>
        </is>
      </c>
      <c r="S27" s="4" t="inlineStr">
        <is>
          <t>—</t>
        </is>
      </c>
      <c r="T27" s="4" t="inlineStr">
        <is>
          <t>Jest pedidos</t>
        </is>
      </c>
      <c r="U27" s="6" t="inlineStr">
        <is>
          <t>Implementado</t>
        </is>
      </c>
    </row>
    <row r="28">
      <c r="A28" s="3" t="inlineStr">
        <is>
          <t>RF</t>
        </is>
      </c>
      <c r="B28" s="3" t="inlineStr">
        <is>
          <t>Vendedores y pedidos</t>
        </is>
      </c>
      <c r="C28" s="3" t="inlineStr">
        <is>
          <t>RF-026</t>
        </is>
      </c>
      <c r="D28" s="4" t="inlineStr">
        <is>
          <t>Calificación de vendedores</t>
        </is>
      </c>
      <c r="E28" s="4" t="inlineStr">
        <is>
          <t>El comprador califica al vendedor después de recibir el pedido; quien no tiene opiniones se ve con 5 estrellas "(nuevo)".</t>
        </is>
      </c>
      <c r="F28" s="4" t="inlineStr">
        <is>
          <t>Frontend / Base de Datos</t>
        </is>
      </c>
      <c r="G28" s="5" t="n">
        <v>46318</v>
      </c>
      <c r="H28" s="5" t="n">
        <v>46318</v>
      </c>
      <c r="I28" s="6" t="n">
        <v>1</v>
      </c>
      <c r="J28" s="4" t="inlineStr">
        <is>
          <t>Migración 12.</t>
        </is>
      </c>
      <c r="K28" s="6" t="inlineStr">
        <is>
          <t>—</t>
        </is>
      </c>
      <c r="L28" s="6" t="inlineStr">
        <is>
          <t>1/1/0,5</t>
        </is>
      </c>
      <c r="M28" s="6" t="inlineStr">
        <is>
          <t>—</t>
        </is>
      </c>
      <c r="N28" s="6" t="inlineStr">
        <is>
          <t>1/0,5/0,5</t>
        </is>
      </c>
      <c r="O28" s="6" t="inlineStr">
        <is>
          <t>1/0,5/0,5</t>
        </is>
      </c>
      <c r="P28" s="6" t="inlineStr">
        <is>
          <t>—</t>
        </is>
      </c>
      <c r="Q28" s="6" t="inlineStr">
        <is>
          <t>RF-025</t>
        </is>
      </c>
      <c r="R28" s="6" t="inlineStr">
        <is>
          <t>—</t>
        </is>
      </c>
      <c r="S28" s="4" t="inlineStr">
        <is>
          <t>—</t>
        </is>
      </c>
      <c r="T28" s="4" t="inlineStr">
        <is>
          <t>Planilla QA (manual)</t>
        </is>
      </c>
      <c r="U28" s="6" t="inlineStr">
        <is>
          <t>Implementado</t>
        </is>
      </c>
    </row>
    <row r="29">
      <c r="A29" s="3" t="inlineStr">
        <is>
          <t>RF</t>
        </is>
      </c>
      <c r="B29" s="3" t="inlineStr">
        <is>
          <t>Vendedores y pedidos</t>
        </is>
      </c>
      <c r="C29" s="3" t="inlineStr">
        <is>
          <t>RF-027</t>
        </is>
      </c>
      <c r="D29" s="4" t="inlineStr">
        <is>
          <t>Página pública del vendedor</t>
        </is>
      </c>
      <c r="E29" s="4" t="inlineStr">
        <is>
          <t>Cualquier usuario ve las prendas y la calificación de un vendedor sin ver sus datos personales.</t>
        </is>
      </c>
      <c r="F29" s="4" t="inlineStr">
        <is>
          <t>Frontend / Base de Datos</t>
        </is>
      </c>
      <c r="G29" s="5" t="n">
        <v>46318</v>
      </c>
      <c r="H29" s="5" t="n">
        <v>46322</v>
      </c>
      <c r="I29" s="6" t="n">
        <v>5</v>
      </c>
      <c r="J29" s="4" t="inlineStr">
        <is>
          <t>RNF4. Vista vendedores_publicos (migración 15).</t>
        </is>
      </c>
      <c r="K29" s="6" t="inlineStr">
        <is>
          <t>—</t>
        </is>
      </c>
      <c r="L29" s="6" t="inlineStr">
        <is>
          <t>1/1/0,5</t>
        </is>
      </c>
      <c r="M29" s="6" t="inlineStr">
        <is>
          <t>—</t>
        </is>
      </c>
      <c r="N29" s="6" t="inlineStr">
        <is>
          <t>1/0,5/0,5</t>
        </is>
      </c>
      <c r="O29" s="6" t="inlineStr">
        <is>
          <t>1/0,5/0,5</t>
        </is>
      </c>
      <c r="P29" s="6" t="inlineStr">
        <is>
          <t>—</t>
        </is>
      </c>
      <c r="Q29" s="6" t="inlineStr">
        <is>
          <t>RF-026</t>
        </is>
      </c>
      <c r="R29" s="6" t="inlineStr">
        <is>
          <t>—</t>
        </is>
      </c>
      <c r="S29" s="4" t="inlineStr">
        <is>
          <t>—</t>
        </is>
      </c>
      <c r="T29" s="4" t="inlineStr">
        <is>
          <t>Planilla QA (manual)</t>
        </is>
      </c>
      <c r="U29" s="6" t="inlineStr">
        <is>
          <t>Implementado</t>
        </is>
      </c>
    </row>
    <row r="30">
      <c r="A30" s="3" t="inlineStr">
        <is>
          <t>RF</t>
        </is>
      </c>
      <c r="B30" s="3" t="inlineStr">
        <is>
          <t>Vendedores y pedidos</t>
        </is>
      </c>
      <c r="C30" s="3" t="inlineStr">
        <is>
          <t>RF-028</t>
        </is>
      </c>
      <c r="D30" s="4" t="inlineStr">
        <is>
          <t>Notificaciones push</t>
        </is>
      </c>
      <c r="E30" s="4" t="inlineStr">
        <is>
          <t>El vendedor recibe una notificación por cada venta y el comprador por cada cambio de estado.</t>
        </is>
      </c>
      <c r="F30" s="4" t="inlineStr">
        <is>
          <t>Backend / Implementación</t>
        </is>
      </c>
      <c r="G30" s="5" t="n">
        <v>46319</v>
      </c>
      <c r="H30" s="5" t="n">
        <v>46319</v>
      </c>
      <c r="I30" s="6" t="n">
        <v>1</v>
      </c>
      <c r="J30" s="4" t="inlineStr">
        <is>
          <t>Migración 14 (pg_net). Sólo en build de EAS, no en Expo Go.</t>
        </is>
      </c>
      <c r="K30" s="6" t="inlineStr">
        <is>
          <t>2/1/1</t>
        </is>
      </c>
      <c r="L30" s="6" t="inlineStr">
        <is>
          <t>—</t>
        </is>
      </c>
      <c r="M30" s="6" t="inlineStr">
        <is>
          <t>2/1/1</t>
        </is>
      </c>
      <c r="N30" s="6" t="inlineStr">
        <is>
          <t>—</t>
        </is>
      </c>
      <c r="O30" s="6" t="inlineStr">
        <is>
          <t>2/1/0,5</t>
        </is>
      </c>
      <c r="P30" s="6" t="inlineStr">
        <is>
          <t>—</t>
        </is>
      </c>
      <c r="Q30" s="6" t="inlineStr">
        <is>
          <t>RF-025</t>
        </is>
      </c>
      <c r="R30" s="6" t="inlineStr">
        <is>
          <t>—</t>
        </is>
      </c>
      <c r="S30" s="4" t="inlineStr">
        <is>
          <t>HU19</t>
        </is>
      </c>
      <c r="T30" s="4" t="inlineStr">
        <is>
          <t>TC-PUSH-01..05; Jest notificaciones</t>
        </is>
      </c>
      <c r="U30" s="6" t="inlineStr">
        <is>
          <t>Implementado</t>
        </is>
      </c>
    </row>
    <row r="31">
      <c r="A31" s="3" t="inlineStr">
        <is>
          <t>RF</t>
        </is>
      </c>
      <c r="B31" s="3" t="inlineStr">
        <is>
          <t>Modo empresa</t>
        </is>
      </c>
      <c r="C31" s="3" t="inlineStr">
        <is>
          <t>RF-029</t>
        </is>
      </c>
      <c r="D31" s="4" t="inlineStr">
        <is>
          <t>Alta de empresa</t>
        </is>
      </c>
      <c r="E31" s="4" t="inlineStr">
        <is>
          <t>Un usuario crea su empresa con nombre, CUIT y un enlace propio de tienda.</t>
        </is>
      </c>
      <c r="F31" s="4" t="inlineStr">
        <is>
          <t>Frontend / Backend / Base de Datos</t>
        </is>
      </c>
      <c r="G31" s="5" t="n">
        <v>46318</v>
      </c>
      <c r="H31" s="5" t="n">
        <v>46318</v>
      </c>
      <c r="I31" s="6" t="n">
        <v>1</v>
      </c>
      <c r="J31" s="4" t="inlineStr">
        <is>
          <t>Etapa 1: HU21. Migración 06.</t>
        </is>
      </c>
      <c r="K31" s="6" t="inlineStr">
        <is>
          <t>1/1/0,5</t>
        </is>
      </c>
      <c r="L31" s="6" t="inlineStr">
        <is>
          <t>1/1/0,5</t>
        </is>
      </c>
      <c r="M31" s="6" t="inlineStr">
        <is>
          <t>—</t>
        </is>
      </c>
      <c r="N31" s="6" t="inlineStr">
        <is>
          <t>2/1/1</t>
        </is>
      </c>
      <c r="O31" s="6" t="inlineStr">
        <is>
          <t>1/0,5/0,5</t>
        </is>
      </c>
      <c r="P31" s="6" t="inlineStr">
        <is>
          <t>—</t>
        </is>
      </c>
      <c r="Q31" s="6" t="inlineStr">
        <is>
          <t>RF-002</t>
        </is>
      </c>
      <c r="R31" s="6" t="inlineStr">
        <is>
          <t>—</t>
        </is>
      </c>
      <c r="S31" s="4" t="inlineStr">
        <is>
          <t>HU21</t>
        </is>
      </c>
      <c r="T31" s="4" t="inlineStr">
        <is>
          <t>Jest empresas</t>
        </is>
      </c>
      <c r="U31" s="6" t="inlineStr">
        <is>
          <t>Implementado</t>
        </is>
      </c>
    </row>
    <row r="32">
      <c r="A32" s="3" t="inlineStr">
        <is>
          <t>RF</t>
        </is>
      </c>
      <c r="B32" s="3" t="inlineStr">
        <is>
          <t>Modo empresa</t>
        </is>
      </c>
      <c r="C32" s="3" t="inlineStr">
        <is>
          <t>RF-030</t>
        </is>
      </c>
      <c r="D32" s="4" t="inlineStr">
        <is>
          <t>Modo Yo / Empresa</t>
        </is>
      </c>
      <c r="E32" s="4" t="inlineStr">
        <is>
          <t>Un empleado elige si vende como particular o como la empresa; el propietario vende sólo como empresa; al invitarlo, el empleado queda en modo empresa.</t>
        </is>
      </c>
      <c r="F32" s="4" t="inlineStr">
        <is>
          <t>Frontend / Base de Datos</t>
        </is>
      </c>
      <c r="G32" s="5" t="n">
        <v>46318</v>
      </c>
      <c r="H32" s="5" t="n">
        <v>46322</v>
      </c>
      <c r="I32" s="6" t="n">
        <v>5</v>
      </c>
      <c r="J32" s="4" t="inlineStr">
        <is>
          <t>Etapa 1: HU21. Migraciones 15 y 16.</t>
        </is>
      </c>
      <c r="K32" s="6" t="inlineStr">
        <is>
          <t>—</t>
        </is>
      </c>
      <c r="L32" s="6" t="inlineStr">
        <is>
          <t>1/1/0,5</t>
        </is>
      </c>
      <c r="M32" s="6" t="inlineStr">
        <is>
          <t>—</t>
        </is>
      </c>
      <c r="N32" s="6" t="inlineStr">
        <is>
          <t>1/1/0,5</t>
        </is>
      </c>
      <c r="O32" s="6" t="inlineStr">
        <is>
          <t>1/0,5/0,5</t>
        </is>
      </c>
      <c r="P32" s="6" t="inlineStr">
        <is>
          <t>—</t>
        </is>
      </c>
      <c r="Q32" s="6" t="inlineStr">
        <is>
          <t>RF-029, RF-031</t>
        </is>
      </c>
      <c r="R32" s="6" t="inlineStr">
        <is>
          <t>—</t>
        </is>
      </c>
      <c r="S32" s="4" t="inlineStr">
        <is>
          <t>HU21</t>
        </is>
      </c>
      <c r="T32" s="4" t="inlineStr">
        <is>
          <t>Jest useUsuarioStore, empresas</t>
        </is>
      </c>
      <c r="U32" s="6" t="inlineStr">
        <is>
          <t>Implementado</t>
        </is>
      </c>
    </row>
    <row r="33">
      <c r="A33" s="3" t="inlineStr">
        <is>
          <t>RF</t>
        </is>
      </c>
      <c r="B33" s="3" t="inlineStr">
        <is>
          <t>Modo empresa</t>
        </is>
      </c>
      <c r="C33" s="3" t="inlineStr">
        <is>
          <t>RF-031</t>
        </is>
      </c>
      <c r="D33" s="4" t="inlineStr">
        <is>
          <t>Equipo e invitaciones</t>
        </is>
      </c>
      <c r="E33" s="4" t="inlineStr">
        <is>
          <t>El propietario o un administrador invita por un enlace que abre la app (o la página web) con el código; asigna roles y puede quitar miembros.</t>
        </is>
      </c>
      <c r="F33" s="4" t="inlineStr">
        <is>
          <t>Frontend / Backend / Base de Datos</t>
        </is>
      </c>
      <c r="G33" s="5" t="n">
        <v>46318</v>
      </c>
      <c r="H33" s="5" t="n">
        <v>46322</v>
      </c>
      <c r="I33" s="6" t="n">
        <v>5</v>
      </c>
      <c r="J33" s="4" t="inlineStr">
        <is>
          <t>Etapa 1: HU21. Página docs/invitacion en GitHub Pages.</t>
        </is>
      </c>
      <c r="K33" s="6" t="inlineStr">
        <is>
          <t>1/1/0,5</t>
        </is>
      </c>
      <c r="L33" s="6" t="inlineStr">
        <is>
          <t>2/1/1</t>
        </is>
      </c>
      <c r="M33" s="6" t="inlineStr">
        <is>
          <t>1/0,5/0,5</t>
        </is>
      </c>
      <c r="N33" s="6" t="inlineStr">
        <is>
          <t>1/1/0,5</t>
        </is>
      </c>
      <c r="O33" s="6" t="inlineStr">
        <is>
          <t>1/1/0,5</t>
        </is>
      </c>
      <c r="P33" s="6" t="inlineStr">
        <is>
          <t>—</t>
        </is>
      </c>
      <c r="Q33" s="6" t="inlineStr">
        <is>
          <t>RF-029</t>
        </is>
      </c>
      <c r="R33" s="6" t="inlineStr">
        <is>
          <t>—</t>
        </is>
      </c>
      <c r="S33" s="4" t="inlineStr">
        <is>
          <t>HU21</t>
        </is>
      </c>
      <c r="T33" s="4" t="inlineStr">
        <is>
          <t>Jest empresas</t>
        </is>
      </c>
      <c r="U33" s="6" t="inlineStr">
        <is>
          <t>Implementado</t>
        </is>
      </c>
    </row>
    <row r="34">
      <c r="A34" s="3" t="inlineStr">
        <is>
          <t>RF</t>
        </is>
      </c>
      <c r="B34" s="3" t="inlineStr">
        <is>
          <t>Modo empresa</t>
        </is>
      </c>
      <c r="C34" s="3" t="inlineStr">
        <is>
          <t>RF-032</t>
        </is>
      </c>
      <c r="D34" s="4" t="inlineStr">
        <is>
          <t>Sedes</t>
        </is>
      </c>
      <c r="E34" s="4" t="inlineStr">
        <is>
          <t>La empresa carga sus sedes con dirección; el stock y el retiro se asocian a una sede.</t>
        </is>
      </c>
      <c r="F34" s="4" t="inlineStr">
        <is>
          <t>Frontend / Base de Datos</t>
        </is>
      </c>
      <c r="G34" s="5" t="n">
        <v>46318</v>
      </c>
      <c r="H34" s="5" t="n">
        <v>46318</v>
      </c>
      <c r="I34" s="6" t="n">
        <v>1</v>
      </c>
      <c r="J34" s="4" t="inlineStr">
        <is>
          <t>Etapa 1: HU21. Migración 08.</t>
        </is>
      </c>
      <c r="K34" s="6" t="inlineStr">
        <is>
          <t>—</t>
        </is>
      </c>
      <c r="L34" s="6" t="inlineStr">
        <is>
          <t>1/1/0,5</t>
        </is>
      </c>
      <c r="M34" s="6" t="inlineStr">
        <is>
          <t>—</t>
        </is>
      </c>
      <c r="N34" s="6" t="inlineStr">
        <is>
          <t>1/0,5/0,5</t>
        </is>
      </c>
      <c r="O34" s="6" t="inlineStr">
        <is>
          <t>1/0,5/0,5</t>
        </is>
      </c>
      <c r="P34" s="6" t="inlineStr">
        <is>
          <t>—</t>
        </is>
      </c>
      <c r="Q34" s="6" t="inlineStr">
        <is>
          <t>RF-029</t>
        </is>
      </c>
      <c r="R34" s="6" t="inlineStr">
        <is>
          <t>RF-024</t>
        </is>
      </c>
      <c r="S34" s="4" t="inlineStr">
        <is>
          <t>HU21</t>
        </is>
      </c>
      <c r="T34" s="4" t="inlineStr">
        <is>
          <t>Jest empresas</t>
        </is>
      </c>
      <c r="U34" s="6" t="inlineStr">
        <is>
          <t>Implementado</t>
        </is>
      </c>
    </row>
    <row r="35">
      <c r="A35" s="3" t="inlineStr">
        <is>
          <t>RF</t>
        </is>
      </c>
      <c r="B35" s="3" t="inlineStr">
        <is>
          <t>Modo empresa</t>
        </is>
      </c>
      <c r="C35" s="3" t="inlineStr">
        <is>
          <t>RF-033</t>
        </is>
      </c>
      <c r="D35" s="4" t="inlineStr">
        <is>
          <t>Tienda pública de la empresa</t>
        </is>
      </c>
      <c r="E35" s="4" t="inlineStr">
        <is>
          <t>Cada empresa tiene una tienda con sus prendas en /tienda/&lt;enlace&gt;.</t>
        </is>
      </c>
      <c r="F35" s="4" t="inlineStr">
        <is>
          <t>Frontend</t>
        </is>
      </c>
      <c r="G35" s="5" t="n">
        <v>46318</v>
      </c>
      <c r="H35" s="5" t="n">
        <v>46318</v>
      </c>
      <c r="I35" s="6" t="n">
        <v>1</v>
      </c>
      <c r="J35" s="4" t="inlineStr">
        <is>
          <t>Etapa 1: HU21.</t>
        </is>
      </c>
      <c r="K35" s="6" t="inlineStr">
        <is>
          <t>—</t>
        </is>
      </c>
      <c r="L35" s="6" t="inlineStr">
        <is>
          <t>1/1/0,5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1/0,5/0,5</t>
        </is>
      </c>
      <c r="P35" s="6" t="inlineStr">
        <is>
          <t>—</t>
        </is>
      </c>
      <c r="Q35" s="6" t="inlineStr">
        <is>
          <t>RF-029, RF-016</t>
        </is>
      </c>
      <c r="R35" s="6" t="inlineStr">
        <is>
          <t>—</t>
        </is>
      </c>
      <c r="S35" s="4" t="inlineStr">
        <is>
          <t>HU21</t>
        </is>
      </c>
      <c r="T35" s="4" t="inlineStr">
        <is>
          <t>Planilla QA (manual)</t>
        </is>
      </c>
      <c r="U35" s="6" t="inlineStr">
        <is>
          <t>Implementado</t>
        </is>
      </c>
    </row>
    <row r="36">
      <c r="A36" s="3" t="inlineStr">
        <is>
          <t>RF</t>
        </is>
      </c>
      <c r="B36" s="3" t="inlineStr">
        <is>
          <t>Modo empresa</t>
        </is>
      </c>
      <c r="C36" s="3" t="inlineStr">
        <is>
          <t>RF-034</t>
        </is>
      </c>
      <c r="D36" s="4" t="inlineStr">
        <is>
          <t>Métricas de ventas</t>
        </is>
      </c>
      <c r="E36" s="4" t="inlineStr">
        <is>
          <t>La empresa ve ventas, unidades e ingresos de hoy, esta semana, este mes o un rango personalizado de hasta un año.</t>
        </is>
      </c>
      <c r="F36" s="4" t="inlineStr">
        <is>
          <t>Frontend / Base de Datos</t>
        </is>
      </c>
      <c r="G36" s="5" t="n">
        <v>46318</v>
      </c>
      <c r="H36" s="5" t="n">
        <v>46322</v>
      </c>
      <c r="I36" s="6" t="n">
        <v>5</v>
      </c>
      <c r="J36" s="4" t="inlineStr">
        <is>
          <t>Etapa 1: HU21, Could C1. Migraciones 11 y 17.</t>
        </is>
      </c>
      <c r="K36" s="6" t="inlineStr">
        <is>
          <t>—</t>
        </is>
      </c>
      <c r="L36" s="6" t="inlineStr">
        <is>
          <t>2/1/1</t>
        </is>
      </c>
      <c r="M36" s="6" t="inlineStr">
        <is>
          <t>—</t>
        </is>
      </c>
      <c r="N36" s="6" t="inlineStr">
        <is>
          <t>1/1/0,5</t>
        </is>
      </c>
      <c r="O36" s="6" t="inlineStr">
        <is>
          <t>1/0,5/0,5</t>
        </is>
      </c>
      <c r="P36" s="6" t="inlineStr">
        <is>
          <t>—</t>
        </is>
      </c>
      <c r="Q36" s="6" t="inlineStr">
        <is>
          <t>RF-025, RF-029</t>
        </is>
      </c>
      <c r="R36" s="6" t="inlineStr">
        <is>
          <t>—</t>
        </is>
      </c>
      <c r="S36" s="4" t="inlineStr">
        <is>
          <t>HU21</t>
        </is>
      </c>
      <c r="T36" s="4" t="inlineStr">
        <is>
          <t>Jest rangoFechas, pedidos</t>
        </is>
      </c>
      <c r="U36" s="6" t="inlineStr">
        <is>
          <t>Implementado</t>
        </is>
      </c>
    </row>
    <row r="37">
      <c r="A37" s="3" t="inlineStr">
        <is>
          <t>RF</t>
        </is>
      </c>
      <c r="B37" s="3" t="inlineStr">
        <is>
          <t>Administración</t>
        </is>
      </c>
      <c r="C37" s="3" t="inlineStr">
        <is>
          <t>RF-035</t>
        </is>
      </c>
      <c r="D37" s="4" t="inlineStr">
        <is>
          <t>Panel de administración</t>
        </is>
      </c>
      <c r="E37" s="4" t="inlineStr">
        <is>
          <t>Un administrador de la plataforma ve usuarios, empresas y publicaciones y puede dar de baja contenido.</t>
        </is>
      </c>
      <c r="F37" s="4" t="inlineStr">
        <is>
          <t>Frontend / Base de Datos</t>
        </is>
      </c>
      <c r="G37" s="5" t="n">
        <v>46318</v>
      </c>
      <c r="H37" s="5" t="n">
        <v>46318</v>
      </c>
      <c r="I37" s="6" t="n">
        <v>1</v>
      </c>
      <c r="J37" s="4" t="inlineStr">
        <is>
          <t>Migración 07. Sin HU en Etapa 1 (pendiente de agregar).</t>
        </is>
      </c>
      <c r="K37" s="6" t="inlineStr">
        <is>
          <t>—</t>
        </is>
      </c>
      <c r="L37" s="6" t="inlineStr">
        <is>
          <t>1/1/0,5</t>
        </is>
      </c>
      <c r="M37" s="6" t="inlineStr">
        <is>
          <t>—</t>
        </is>
      </c>
      <c r="N37" s="6" t="inlineStr">
        <is>
          <t>1/1/0,5</t>
        </is>
      </c>
      <c r="O37" s="6" t="inlineStr">
        <is>
          <t>1/0,5/0,5</t>
        </is>
      </c>
      <c r="P37" s="6" t="inlineStr">
        <is>
          <t>—</t>
        </is>
      </c>
      <c r="Q37" s="6" t="inlineStr">
        <is>
          <t>RF-003</t>
        </is>
      </c>
      <c r="R37" s="6" t="inlineStr">
        <is>
          <t>—</t>
        </is>
      </c>
      <c r="S37" s="4" t="inlineStr">
        <is>
          <t>—</t>
        </is>
      </c>
      <c r="T37" s="4" t="inlineStr">
        <is>
          <t>Planilla QA (manual)</t>
        </is>
      </c>
      <c r="U37" s="6" t="inlineStr">
        <is>
          <t>Implementado</t>
        </is>
      </c>
    </row>
    <row r="38">
      <c r="A38" s="3" t="inlineStr">
        <is>
          <t>RF</t>
        </is>
      </c>
      <c r="B38" s="3" t="inlineStr">
        <is>
          <t>Configuración</t>
        </is>
      </c>
      <c r="C38" s="3" t="inlineStr">
        <is>
          <t>RF-036</t>
        </is>
      </c>
      <c r="D38" s="4" t="inlineStr">
        <is>
          <t>Ajustes guardados</t>
        </is>
      </c>
      <c r="E38" s="4" t="inlineStr">
        <is>
          <t>Los interruptores de notificaciones, correos y promociones se guardan en el perfil y se respetan.</t>
        </is>
      </c>
      <c r="F38" s="4" t="inlineStr">
        <is>
          <t>Frontend / Base de Datos</t>
        </is>
      </c>
      <c r="G38" s="5" t="n">
        <v>46279</v>
      </c>
      <c r="H38" s="5" t="n">
        <v>46322</v>
      </c>
      <c r="I38" s="6" t="n">
        <v>44</v>
      </c>
      <c r="J38" s="4" t="inlineStr">
        <is>
          <t>Etapa 1: HU19.</t>
        </is>
      </c>
      <c r="K38" s="6" t="inlineStr">
        <is>
          <t>—</t>
        </is>
      </c>
      <c r="L38" s="6" t="inlineStr">
        <is>
          <t>1/1/0,5</t>
        </is>
      </c>
      <c r="M38" s="6" t="inlineStr">
        <is>
          <t>—</t>
        </is>
      </c>
      <c r="N38" s="6" t="inlineStr">
        <is>
          <t>1/0,5/0,5</t>
        </is>
      </c>
      <c r="O38" s="6" t="inlineStr">
        <is>
          <t>1/0,5/0,5</t>
        </is>
      </c>
      <c r="P38" s="6" t="inlineStr">
        <is>
          <t>—</t>
        </is>
      </c>
      <c r="Q38" s="6" t="inlineStr">
        <is>
          <t>RF-005</t>
        </is>
      </c>
      <c r="R38" s="6" t="inlineStr">
        <is>
          <t>—</t>
        </is>
      </c>
      <c r="S38" s="4" t="inlineStr">
        <is>
          <t>HU19</t>
        </is>
      </c>
      <c r="T38" s="4" t="inlineStr">
        <is>
          <t>Planilla QA (manual)</t>
        </is>
      </c>
      <c r="U38" s="6" t="inlineStr">
        <is>
          <t>Implementado</t>
        </is>
      </c>
    </row>
    <row r="39">
      <c r="A39" s="3" t="inlineStr">
        <is>
          <t>RF</t>
        </is>
      </c>
      <c r="B39" s="3" t="inlineStr">
        <is>
          <t>Configuración</t>
        </is>
      </c>
      <c r="C39" s="3" t="inlineStr">
        <is>
          <t>RF-037</t>
        </is>
      </c>
      <c r="D39" s="4" t="inlineStr">
        <is>
          <t>Modo oscuro</t>
        </is>
      </c>
      <c r="E39" s="4" t="inlineStr">
        <is>
          <t>Desde Ajustes &gt; Apariencia el usuario activa el modo oscuro; la preferencia queda guardada en el dispositivo.</t>
        </is>
      </c>
      <c r="F39" s="4" t="inlineStr">
        <is>
          <t>Frontend</t>
        </is>
      </c>
      <c r="G39" s="5" t="n">
        <v>46322</v>
      </c>
      <c r="H39" s="5" t="n">
        <v>46322</v>
      </c>
      <c r="I39" s="6" t="n">
        <v>1</v>
      </c>
      <c r="J39" s="4" t="inlineStr">
        <is>
          <t>Etapa 1: HU19, RNF2 (tokens en constants/theme.ts).</t>
        </is>
      </c>
      <c r="K39" s="6" t="inlineStr">
        <is>
          <t>—</t>
        </is>
      </c>
      <c r="L39" s="6" t="inlineStr">
        <is>
          <t>2/1/1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1/0,5/0,5</t>
        </is>
      </c>
      <c r="P39" s="6" t="inlineStr">
        <is>
          <t>—</t>
        </is>
      </c>
      <c r="Q39" s="6" t="inlineStr">
        <is>
          <t>RF-036</t>
        </is>
      </c>
      <c r="R39" s="6" t="inlineStr">
        <is>
          <t>—</t>
        </is>
      </c>
      <c r="S39" s="4" t="inlineStr">
        <is>
          <t>HU19</t>
        </is>
      </c>
      <c r="T39" s="4" t="inlineStr">
        <is>
          <t>Planilla QA (manual)</t>
        </is>
      </c>
      <c r="U39" s="6" t="inlineStr">
        <is>
          <t>Implementado</t>
        </is>
      </c>
    </row>
    <row r="40">
      <c r="A40" s="3" t="inlineStr">
        <is>
          <t>RF</t>
        </is>
      </c>
      <c r="B40" s="3" t="inlineStr">
        <is>
          <t>Conectividad</t>
        </is>
      </c>
      <c r="C40" s="3" t="inlineStr">
        <is>
          <t>RF-038</t>
        </is>
      </c>
      <c r="D40" s="4" t="inlineStr">
        <is>
          <t>Aviso sin conexión</t>
        </is>
      </c>
      <c r="E40" s="4" t="inlineStr">
        <is>
          <t>Sin Internet se muestra un aviso fijo y las acciones que necesitan red se bloquean con un mensaje claro.</t>
        </is>
      </c>
      <c r="F40" s="4" t="inlineStr">
        <is>
          <t>Frontend</t>
        </is>
      </c>
      <c r="G40" s="5" t="n">
        <v>46313</v>
      </c>
      <c r="H40" s="5" t="n">
        <v>46322</v>
      </c>
      <c r="I40" s="6" t="n">
        <v>10</v>
      </c>
      <c r="J40" s="4" t="inlineStr">
        <is>
          <t>Etapa 1: HU16. NetInfo.</t>
        </is>
      </c>
      <c r="K40" s="6" t="inlineStr">
        <is>
          <t>—</t>
        </is>
      </c>
      <c r="L40" s="6" t="inlineStr">
        <is>
          <t>1/1/0,5</t>
        </is>
      </c>
      <c r="M40" s="6" t="inlineStr">
        <is>
          <t>—</t>
        </is>
      </c>
      <c r="N40" s="6" t="inlineStr">
        <is>
          <t>—</t>
        </is>
      </c>
      <c r="O40" s="6" t="inlineStr">
        <is>
          <t>1/0,5/0,5</t>
        </is>
      </c>
      <c r="P40" s="6" t="inlineStr">
        <is>
          <t>—</t>
        </is>
      </c>
      <c r="Q40" s="6" t="inlineStr">
        <is>
          <t>—</t>
        </is>
      </c>
      <c r="R40" s="6" t="inlineStr">
        <is>
          <t>—</t>
        </is>
      </c>
      <c r="S40" s="4" t="inlineStr">
        <is>
          <t>HU16</t>
        </is>
      </c>
      <c r="T40" s="4" t="inlineStr">
        <is>
          <t>TC-HU16-01 (manual, modo avión)</t>
        </is>
      </c>
      <c r="U40" s="6" t="inlineStr">
        <is>
          <t>Implementado</t>
        </is>
      </c>
    </row>
    <row r="41">
      <c r="A41" s="7" t="inlineStr">
        <is>
          <t>RF</t>
        </is>
      </c>
      <c r="B41" s="7" t="inlineStr">
        <is>
          <t>Seguridad</t>
        </is>
      </c>
      <c r="C41" s="7" t="inlineStr">
        <is>
          <t>RF-039</t>
        </is>
      </c>
      <c r="D41" s="8" t="inlineStr">
        <is>
          <t>Chat interno</t>
        </is>
      </c>
      <c r="E41" s="8" t="inlineStr">
        <is>
          <t>Comprador y vendedor se comunican por un chat dentro de la app sin compartir teléfono ni correo.</t>
        </is>
      </c>
      <c r="F41" s="8" t="inlineStr">
        <is>
          <t>Frontend / Backend / Base de Datos</t>
        </is>
      </c>
      <c r="G41" s="7" t="n"/>
      <c r="H41" s="7" t="n"/>
      <c r="I41" s="7" t="n"/>
      <c r="J41" s="8" t="inlineStr">
        <is>
          <t>Etapa 1: HU15. Segunda entrega, pendiente.</t>
        </is>
      </c>
      <c r="K41" s="7" t="inlineStr">
        <is>
          <t>5/3/2</t>
        </is>
      </c>
      <c r="L41" s="7" t="inlineStr">
        <is>
          <t>5/3/2</t>
        </is>
      </c>
      <c r="M41" s="7" t="inlineStr">
        <is>
          <t>—</t>
        </is>
      </c>
      <c r="N41" s="7" t="inlineStr">
        <is>
          <t>2/1/1</t>
        </is>
      </c>
      <c r="O41" s="7" t="inlineStr">
        <is>
          <t>2/1/1</t>
        </is>
      </c>
      <c r="P41" s="7" t="inlineStr">
        <is>
          <t>1/1/0,5</t>
        </is>
      </c>
      <c r="Q41" s="7" t="inlineStr">
        <is>
          <t>RF-021</t>
        </is>
      </c>
      <c r="R41" s="7" t="inlineStr">
        <is>
          <t>RF-028</t>
        </is>
      </c>
      <c r="S41" s="8" t="inlineStr">
        <is>
          <t>HU15</t>
        </is>
      </c>
      <c r="T41" s="8" t="inlineStr">
        <is>
          <t>Sin casos todavía</t>
        </is>
      </c>
      <c r="U41" s="7" t="inlineStr">
        <is>
          <t>Pendiente</t>
        </is>
      </c>
    </row>
    <row r="42">
      <c r="A42" s="3" t="inlineStr">
        <is>
          <t>RNF</t>
        </is>
      </c>
      <c r="B42" s="3" t="inlineStr">
        <is>
          <t>No funcional</t>
        </is>
      </c>
      <c r="C42" s="3" t="inlineStr">
        <is>
          <t>RNF-001</t>
        </is>
      </c>
      <c r="D42" s="4" t="inlineStr">
        <is>
          <t>Rendimiento del catálogo</t>
        </is>
      </c>
      <c r="E42" s="4" t="inlineStr">
        <is>
          <t>Las consultas del catálogo responden en menos de 1,5 segundos con red móvil estándar.</t>
        </is>
      </c>
      <c r="F42" s="4" t="inlineStr">
        <is>
          <t>Backend / Testing</t>
        </is>
      </c>
      <c r="G42" s="5" t="n">
        <v>46319</v>
      </c>
      <c r="H42" s="5" t="n">
        <v>46319</v>
      </c>
      <c r="I42" s="6" t="n">
        <v>1</v>
      </c>
      <c r="J42" s="4" t="inlineStr">
        <is>
          <t>Etapa 1: RNF1. ISO 25010: eficiencia de desempeño.</t>
        </is>
      </c>
      <c r="K42" s="6" t="inlineStr">
        <is>
          <t>—</t>
        </is>
      </c>
      <c r="L42" s="6" t="inlineStr">
        <is>
          <t>—</t>
        </is>
      </c>
      <c r="M42" s="6" t="inlineStr">
        <is>
          <t>—</t>
        </is>
      </c>
      <c r="N42" s="6" t="inlineStr">
        <is>
          <t>—</t>
        </is>
      </c>
      <c r="O42" s="6" t="inlineStr">
        <is>
          <t>1/1/0,5</t>
        </is>
      </c>
      <c r="P42" s="6" t="inlineStr">
        <is>
          <t>—</t>
        </is>
      </c>
      <c r="Q42" s="6" t="inlineStr">
        <is>
          <t>RF-007</t>
        </is>
      </c>
      <c r="R42" s="6" t="inlineStr">
        <is>
          <t>—</t>
        </is>
      </c>
      <c r="S42" s="4" t="inlineStr">
        <is>
          <t>HU03</t>
        </is>
      </c>
      <c r="T42" s="4" t="inlineStr">
        <is>
          <t>JMeter catalogo.jmx; Postman performance</t>
        </is>
      </c>
      <c r="U42" s="6" t="inlineStr">
        <is>
          <t>Implementado</t>
        </is>
      </c>
    </row>
    <row r="43">
      <c r="A43" s="3" t="inlineStr">
        <is>
          <t>RNF</t>
        </is>
      </c>
      <c r="B43" s="3" t="inlineStr">
        <is>
          <t>No funcional</t>
        </is>
      </c>
      <c r="C43" s="3" t="inlineStr">
        <is>
          <t>RNF-002</t>
        </is>
      </c>
      <c r="D43" s="4" t="inlineStr">
        <is>
          <t>Tokens de diseño</t>
        </is>
      </c>
      <c r="E43" s="4" t="inlineStr">
        <is>
          <t>Todos los estilos usan los tokens de constants/theme.ts (colores, espacios, radios, tipografía), con paleta clara y oscura.</t>
        </is>
      </c>
      <c r="F43" s="4" t="inlineStr">
        <is>
          <t>Frontend</t>
        </is>
      </c>
      <c r="G43" s="5" t="n">
        <v>46249</v>
      </c>
      <c r="H43" s="5" t="n">
        <v>46322</v>
      </c>
      <c r="I43" s="6" t="n">
        <v>74</v>
      </c>
      <c r="J43" s="4" t="inlineStr">
        <is>
          <t>Etapa 1: RNF2. ISO 25010: mantenibilidad.</t>
        </is>
      </c>
      <c r="K43" s="6" t="inlineStr">
        <is>
          <t>—</t>
        </is>
      </c>
      <c r="L43" s="6" t="inlineStr">
        <is>
          <t>1/1/0,5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6" t="inlineStr">
        <is>
          <t>—</t>
        </is>
      </c>
      <c r="R43" s="6" t="inlineStr">
        <is>
          <t>—</t>
        </is>
      </c>
      <c r="S43" s="4" t="inlineStr">
        <is>
          <t>—</t>
        </is>
      </c>
      <c r="T43" s="4" t="inlineStr">
        <is>
          <t>Revisión de código (checklist peer review)</t>
        </is>
      </c>
      <c r="U43" s="6" t="inlineStr">
        <is>
          <t>Implementado</t>
        </is>
      </c>
    </row>
    <row r="44">
      <c r="A44" s="3" t="inlineStr">
        <is>
          <t>RNF</t>
        </is>
      </c>
      <c r="B44" s="3" t="inlineStr">
        <is>
          <t>No funcional</t>
        </is>
      </c>
      <c r="C44" s="3" t="inlineStr">
        <is>
          <t>RNF-003</t>
        </is>
      </c>
      <c r="D44" s="4" t="inlineStr">
        <is>
          <t>Seguridad a nivel de fila (RLS)</t>
        </is>
      </c>
      <c r="E44" s="4" t="inlineStr">
        <is>
          <t>Cada usuario sólo puede modificar o borrar sus propios datos; las políticas están versionadas en supabase/migraciones.</t>
        </is>
      </c>
      <c r="F44" s="4" t="inlineStr">
        <is>
          <t>Base de Datos</t>
        </is>
      </c>
      <c r="G44" s="5" t="n">
        <v>46313</v>
      </c>
      <c r="H44" s="5" t="n">
        <v>46322</v>
      </c>
      <c r="I44" s="6" t="n">
        <v>10</v>
      </c>
      <c r="J44" s="4" t="inlineStr">
        <is>
          <t>Etapa 1: RNF3. ISO 25010: seguridad.</t>
        </is>
      </c>
      <c r="K44" s="6" t="inlineStr">
        <is>
          <t>—</t>
        </is>
      </c>
      <c r="L44" s="6" t="inlineStr">
        <is>
          <t>—</t>
        </is>
      </c>
      <c r="M44" s="6" t="inlineStr">
        <is>
          <t>—</t>
        </is>
      </c>
      <c r="N44" s="6" t="inlineStr">
        <is>
          <t>2/1/1</t>
        </is>
      </c>
      <c r="O44" s="6" t="inlineStr">
        <is>
          <t>1/1/0,5</t>
        </is>
      </c>
      <c r="P44" s="6" t="inlineStr">
        <is>
          <t>—</t>
        </is>
      </c>
      <c r="Q44" s="6" t="inlineStr">
        <is>
          <t>—</t>
        </is>
      </c>
      <c r="R44" s="6" t="inlineStr">
        <is>
          <t>—</t>
        </is>
      </c>
      <c r="S44" s="4" t="inlineStr">
        <is>
          <t>HU08</t>
        </is>
      </c>
      <c r="T44" s="4" t="inlineStr">
        <is>
          <t>Postman negativos/editar ajeno</t>
        </is>
      </c>
      <c r="U44" s="6" t="inlineStr">
        <is>
          <t>Implementado</t>
        </is>
      </c>
    </row>
    <row r="45">
      <c r="A45" s="3" t="inlineStr">
        <is>
          <t>RNF</t>
        </is>
      </c>
      <c r="B45" s="3" t="inlineStr">
        <is>
          <t>No funcional</t>
        </is>
      </c>
      <c r="C45" s="3" t="inlineStr">
        <is>
          <t>RNF-004</t>
        </is>
      </c>
      <c r="D45" s="4" t="inlineStr">
        <is>
          <t>Confidencialidad de datos personales</t>
        </is>
      </c>
      <c r="E45" s="4" t="inlineStr">
        <is>
          <t>Los endpoints públicos no exponen correo, teléfono ni dirección de los vendedores particulares.</t>
        </is>
      </c>
      <c r="F45" s="4" t="inlineStr">
        <is>
          <t>Base de Datos</t>
        </is>
      </c>
      <c r="G45" s="5" t="n">
        <v>46322</v>
      </c>
      <c r="H45" s="5" t="n">
        <v>46322</v>
      </c>
      <c r="I45" s="6" t="n">
        <v>1</v>
      </c>
      <c r="J45" s="4" t="inlineStr">
        <is>
          <t>Etapa 1: RNF4. Vistas públicas (migración 15).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1/0,5/0,5</t>
        </is>
      </c>
      <c r="O45" s="6" t="inlineStr">
        <is>
          <t>1/0,5/0,5</t>
        </is>
      </c>
      <c r="P45" s="6" t="inlineStr">
        <is>
          <t>—</t>
        </is>
      </c>
      <c r="Q45" s="6" t="inlineStr">
        <is>
          <t>RNF-003</t>
        </is>
      </c>
      <c r="R45" s="6" t="inlineStr">
        <is>
          <t>—</t>
        </is>
      </c>
      <c r="S45" s="4" t="inlineStr">
        <is>
          <t>—</t>
        </is>
      </c>
      <c r="T45" s="4" t="inlineStr">
        <is>
          <t>Postman negativos</t>
        </is>
      </c>
      <c r="U45" s="6" t="inlineStr">
        <is>
          <t>Implementado</t>
        </is>
      </c>
    </row>
    <row r="46">
      <c r="A46" s="3" t="inlineStr">
        <is>
          <t>RNF</t>
        </is>
      </c>
      <c r="B46" s="3" t="inlineStr">
        <is>
          <t>No funcional</t>
        </is>
      </c>
      <c r="C46" s="3" t="inlineStr">
        <is>
          <t>RNF-005</t>
        </is>
      </c>
      <c r="D46" s="4" t="inlineStr">
        <is>
          <t>Sesión cifrada</t>
        </is>
      </c>
      <c r="E46" s="4" t="inlineStr">
        <is>
          <t>Los tokens de sesión se guardan cifrados (SecureStore) y nunca en texto plano.</t>
        </is>
      </c>
      <c r="F46" s="4" t="inlineStr">
        <is>
          <t>Frontend</t>
        </is>
      </c>
      <c r="G46" s="5" t="n">
        <v>46319</v>
      </c>
      <c r="H46" s="5" t="n">
        <v>46319</v>
      </c>
      <c r="I46" s="6" t="n">
        <v>1</v>
      </c>
      <c r="J46" s="4" t="inlineStr">
        <is>
          <t>ISO 25010: seguridad.</t>
        </is>
      </c>
      <c r="K46" s="6" t="inlineStr">
        <is>
          <t>—</t>
        </is>
      </c>
      <c r="L46" s="6" t="inlineStr">
        <is>
          <t>1/0,5/0,5</t>
        </is>
      </c>
      <c r="M46" s="6" t="inlineStr">
        <is>
          <t>—</t>
        </is>
      </c>
      <c r="N46" s="6" t="inlineStr">
        <is>
          <t>—</t>
        </is>
      </c>
      <c r="O46" s="6" t="inlineStr">
        <is>
          <t>1/0,5/0,5</t>
        </is>
      </c>
      <c r="P46" s="6" t="inlineStr">
        <is>
          <t>—</t>
        </is>
      </c>
      <c r="Q46" s="6" t="inlineStr">
        <is>
          <t>—</t>
        </is>
      </c>
      <c r="R46" s="6" t="inlineStr">
        <is>
          <t>—</t>
        </is>
      </c>
      <c r="S46" s="4" t="inlineStr">
        <is>
          <t>HU02</t>
        </is>
      </c>
      <c r="T46" s="4" t="inlineStr">
        <is>
          <t>Jest secureSessionStorage</t>
        </is>
      </c>
      <c r="U46" s="6" t="inlineStr">
        <is>
          <t>Implementado</t>
        </is>
      </c>
    </row>
    <row r="47">
      <c r="A47" s="3" t="inlineStr">
        <is>
          <t>RNF</t>
        </is>
      </c>
      <c r="B47" s="3" t="inlineStr">
        <is>
          <t>No funcional</t>
        </is>
      </c>
      <c r="C47" s="3" t="inlineStr">
        <is>
          <t>RNF-006</t>
        </is>
      </c>
      <c r="D47" s="4" t="inlineStr">
        <is>
          <t>Mensajes en español</t>
        </is>
      </c>
      <c r="E47" s="4" t="inlineStr">
        <is>
          <t>Todos los errores, incluidos los de Supabase Auth y la base, se muestran en español y sin detalles técnicos.</t>
        </is>
      </c>
      <c r="F47" s="4" t="inlineStr">
        <is>
          <t>Frontend</t>
        </is>
      </c>
      <c r="G47" s="5" t="n">
        <v>46322</v>
      </c>
      <c r="H47" s="5" t="n">
        <v>46322</v>
      </c>
      <c r="I47" s="6" t="n">
        <v>1</v>
      </c>
      <c r="J47" s="4" t="inlineStr">
        <is>
          <t>ISO 25010: usabilidad.</t>
        </is>
      </c>
      <c r="K47" s="6" t="inlineStr">
        <is>
          <t>—</t>
        </is>
      </c>
      <c r="L47" s="6" t="inlineStr">
        <is>
          <t>1/1/0,5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1/0,5/0,5</t>
        </is>
      </c>
      <c r="P47" s="6" t="inlineStr">
        <is>
          <t>—</t>
        </is>
      </c>
      <c r="Q47" s="6" t="inlineStr">
        <is>
          <t>—</t>
        </is>
      </c>
      <c r="R47" s="6" t="inlineStr">
        <is>
          <t>—</t>
        </is>
      </c>
      <c r="S47" s="4" t="inlineStr">
        <is>
          <t>—</t>
        </is>
      </c>
      <c r="T47" s="4" t="inlineStr">
        <is>
          <t>Jest erroresSupabase</t>
        </is>
      </c>
      <c r="U47" s="6" t="inlineStr">
        <is>
          <t>Implementado</t>
        </is>
      </c>
    </row>
    <row r="48">
      <c r="A48" s="3" t="inlineStr">
        <is>
          <t>RNF</t>
        </is>
      </c>
      <c r="B48" s="3" t="inlineStr">
        <is>
          <t>No funcional</t>
        </is>
      </c>
      <c r="C48" s="3" t="inlineStr">
        <is>
          <t>RNF-007</t>
        </is>
      </c>
      <c r="D48" s="4" t="inlineStr">
        <is>
          <t>Consistencia de la compra</t>
        </is>
      </c>
      <c r="E48" s="4" t="inlineStr">
        <is>
          <t>La compra se confirma en una única transacción en el servidor y es idempotente.</t>
        </is>
      </c>
      <c r="F48" s="4" t="inlineStr">
        <is>
          <t>Backend / Base de Datos</t>
        </is>
      </c>
      <c r="G48" s="5" t="n">
        <v>46313</v>
      </c>
      <c r="H48" s="5" t="n">
        <v>46313</v>
      </c>
      <c r="I48" s="6" t="n">
        <v>1</v>
      </c>
      <c r="J48" s="4" t="inlineStr">
        <is>
          <t>ISO 25010: fiabilidad.</t>
        </is>
      </c>
      <c r="K48" s="6" t="inlineStr">
        <is>
          <t>—</t>
        </is>
      </c>
      <c r="L48" s="6" t="inlineStr">
        <is>
          <t>—</t>
        </is>
      </c>
      <c r="M48" s="6" t="inlineStr">
        <is>
          <t>—</t>
        </is>
      </c>
      <c r="N48" s="6" t="inlineStr">
        <is>
          <t>1/1/0,5</t>
        </is>
      </c>
      <c r="O48" s="6" t="inlineStr">
        <is>
          <t>1/1/0,5</t>
        </is>
      </c>
      <c r="P48" s="6" t="inlineStr">
        <is>
          <t>—</t>
        </is>
      </c>
      <c r="Q48" s="6" t="inlineStr">
        <is>
          <t>—</t>
        </is>
      </c>
      <c r="R48" s="6" t="inlineStr">
        <is>
          <t>—</t>
        </is>
      </c>
      <c r="S48" s="4" t="inlineStr">
        <is>
          <t>HU14</t>
        </is>
      </c>
      <c r="T48" s="4" t="inlineStr">
        <is>
          <t>TC-HU14-02; Postman concurrencia</t>
        </is>
      </c>
      <c r="U48" s="6" t="inlineStr">
        <is>
          <t>Implementado</t>
        </is>
      </c>
    </row>
    <row r="49">
      <c r="A49" s="3" t="inlineStr">
        <is>
          <t>RNF</t>
        </is>
      </c>
      <c r="B49" s="3" t="inlineStr">
        <is>
          <t>No funcional</t>
        </is>
      </c>
      <c r="C49" s="3" t="inlineStr">
        <is>
          <t>RNF-008</t>
        </is>
      </c>
      <c r="D49" s="4" t="inlineStr">
        <is>
          <t>Integración continua</t>
        </is>
      </c>
      <c r="E49" s="4" t="inlineStr">
        <is>
          <t>Cada push y PR corre tipos, lint y tests en GitHub Actions; no se mergea en rojo.</t>
        </is>
      </c>
      <c r="F49" s="4" t="inlineStr">
        <is>
          <t>Implementación / Testing</t>
        </is>
      </c>
      <c r="G49" s="5" t="n">
        <v>46319</v>
      </c>
      <c r="H49" s="5" t="n">
        <v>46319</v>
      </c>
      <c r="I49" s="6" t="n">
        <v>1</v>
      </c>
      <c r="J49" s="4" t="inlineStr">
        <is>
          <t>.github/workflows/test.yml.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1/0,5/0,5</t>
        </is>
      </c>
      <c r="N49" s="6" t="inlineStr">
        <is>
          <t>—</t>
        </is>
      </c>
      <c r="O49" s="6" t="inlineStr">
        <is>
          <t>1/0,5/0,5</t>
        </is>
      </c>
      <c r="P49" s="6" t="inlineStr">
        <is>
          <t>—</t>
        </is>
      </c>
      <c r="Q49" s="6" t="inlineStr">
        <is>
          <t>—</t>
        </is>
      </c>
      <c r="R49" s="6" t="inlineStr">
        <is>
          <t>—</t>
        </is>
      </c>
      <c r="S49" s="4" t="inlineStr">
        <is>
          <t>—</t>
        </is>
      </c>
      <c r="T49" s="4" t="inlineStr">
        <is>
          <t>GitHub Actions</t>
        </is>
      </c>
      <c r="U49" s="6" t="inlineStr">
        <is>
          <t>Implementado</t>
        </is>
      </c>
    </row>
    <row r="50">
      <c r="A50" s="3" t="inlineStr">
        <is>
          <t>RNF</t>
        </is>
      </c>
      <c r="B50" s="3" t="inlineStr">
        <is>
          <t>No funcional</t>
        </is>
      </c>
      <c r="C50" s="3" t="inlineStr">
        <is>
          <t>RNF-009</t>
        </is>
      </c>
      <c r="D50" s="4" t="inlineStr">
        <is>
          <t>Accesibilidad</t>
        </is>
      </c>
      <c r="E50" s="4" t="inlineStr">
        <is>
          <t>Los controles tienen etiquetas accesibles y testID para pruebas automáticas.</t>
        </is>
      </c>
      <c r="F50" s="4" t="inlineStr">
        <is>
          <t>Frontend</t>
        </is>
      </c>
      <c r="G50" s="5" t="n">
        <v>46319</v>
      </c>
      <c r="H50" s="5" t="n">
        <v>46319</v>
      </c>
      <c r="I50" s="6" t="n">
        <v>1</v>
      </c>
      <c r="J50" s="4" t="inlineStr">
        <is>
          <t>ISO 25010: usabilidad.</t>
        </is>
      </c>
      <c r="K50" s="6" t="inlineStr">
        <is>
          <t>—</t>
        </is>
      </c>
      <c r="L50" s="6" t="inlineStr">
        <is>
          <t>1/1/0,5</t>
        </is>
      </c>
      <c r="M50" s="6" t="inlineStr">
        <is>
          <t>—</t>
        </is>
      </c>
      <c r="N50" s="6" t="inlineStr">
        <is>
          <t>—</t>
        </is>
      </c>
      <c r="O50" s="6" t="inlineStr">
        <is>
          <t>1/0,5/0,5</t>
        </is>
      </c>
      <c r="P50" s="6" t="inlineStr">
        <is>
          <t>—</t>
        </is>
      </c>
      <c r="Q50" s="6" t="inlineStr">
        <is>
          <t>—</t>
        </is>
      </c>
      <c r="R50" s="6" t="inlineStr">
        <is>
          <t>—</t>
        </is>
      </c>
      <c r="S50" s="4" t="inlineStr">
        <is>
          <t>—</t>
        </is>
      </c>
      <c r="T50" s="4" t="inlineStr">
        <is>
          <t>Maestro (.maestro)</t>
        </is>
      </c>
      <c r="U50" s="6" t="inlineStr">
        <is>
          <t>Implementado</t>
        </is>
      </c>
    </row>
  </sheetData>
  <autoFilter ref="A2:U50"/>
  <mergeCells count="3">
    <mergeCell ref="K1:P1"/>
    <mergeCell ref="S1:U1"/>
    <mergeCell ref="Q1:R1"/>
  </mergeCells>
  <dataValidations count="1">
    <dataValidation sqref="U3:U50" showDropDown="0" showInputMessage="0" showErrorMessage="0" allowBlank="1" type="list">
      <formula1>"Implementado,Parcial,Pendiente"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22" customWidth="1" min="8" max="8"/>
    <col width="12" customWidth="1" min="9" max="9"/>
    <col width="12" customWidth="1" min="10" max="10"/>
    <col width="10" customWidth="1" min="11" max="11"/>
    <col width="9" customWidth="1" min="12" max="12"/>
  </cols>
  <sheetData>
    <row r="1" ht="32" customHeight="1">
      <c r="A1" s="9" t="inlineStr">
        <is>
          <t>Estimación PERT por requerimiento: suma de las estimaciones de cada área (las hace una misma persona, una tras otra). TE = (O + 4M + P) / 6, σ = (P − O) / 6. Camino crítico con las dependencias bloqueantes de la Hoja 1.</t>
        </is>
      </c>
    </row>
    <row r="2">
      <c r="A2" s="10" t="inlineStr">
        <is>
          <t>Número</t>
        </is>
      </c>
      <c r="B2" s="10" t="inlineStr">
        <is>
          <t>Descripción</t>
        </is>
      </c>
      <c r="C2" s="10" t="inlineStr">
        <is>
          <t>Optimista (O)</t>
        </is>
      </c>
      <c r="D2" s="10" t="inlineStr">
        <is>
          <t>Probable (M)</t>
        </is>
      </c>
      <c r="E2" s="10" t="inlineStr">
        <is>
          <t>Pesimista (P)</t>
        </is>
      </c>
      <c r="F2" s="10" t="inlineStr">
        <is>
          <t>TE (días)</t>
        </is>
      </c>
      <c r="G2" s="10" t="inlineStr">
        <is>
          <t>σ</t>
        </is>
      </c>
      <c r="H2" s="10" t="inlineStr">
        <is>
          <t>Depende de</t>
        </is>
      </c>
      <c r="I2" s="10" t="inlineStr">
        <is>
          <t>Inicio temprano</t>
        </is>
      </c>
      <c r="J2" s="10" t="inlineStr">
        <is>
          <t>Fin temprano</t>
        </is>
      </c>
      <c r="K2" s="10" t="inlineStr">
        <is>
          <t>Holgura</t>
        </is>
      </c>
      <c r="L2" s="10" t="inlineStr">
        <is>
          <t>Crítico</t>
        </is>
      </c>
    </row>
    <row r="3">
      <c r="A3" s="6" t="inlineStr">
        <is>
          <t>RF-001</t>
        </is>
      </c>
      <c r="B3" s="4" t="inlineStr">
        <is>
          <t>Inicio de sesión con correo o usuario</t>
        </is>
      </c>
      <c r="C3" s="6" t="n">
        <v>2.5</v>
      </c>
      <c r="D3" s="6" t="n">
        <v>4</v>
      </c>
      <c r="E3" s="6" t="n">
        <v>6.5</v>
      </c>
      <c r="F3" s="6">
        <f>ROUND((C3+4*D3+E3)/6,2)</f>
        <v/>
      </c>
      <c r="G3" s="6">
        <f>ROUND((E3-C3)/6,2)</f>
        <v/>
      </c>
      <c r="H3" s="6" t="inlineStr">
        <is>
          <t>—</t>
        </is>
      </c>
      <c r="I3" s="6" t="n">
        <v>0</v>
      </c>
      <c r="J3" s="6" t="n">
        <v>4.17</v>
      </c>
      <c r="K3" s="6" t="n">
        <v>0.17</v>
      </c>
      <c r="L3" s="6" t="inlineStr">
        <is>
          <t>No</t>
        </is>
      </c>
    </row>
    <row r="4">
      <c r="A4" s="6" t="inlineStr">
        <is>
          <t>RF-002</t>
        </is>
      </c>
      <c r="B4" s="4" t="inlineStr">
        <is>
          <t>Registro de usuario</t>
        </is>
      </c>
      <c r="C4" s="6" t="n">
        <v>3</v>
      </c>
      <c r="D4" s="6" t="n">
        <v>5</v>
      </c>
      <c r="E4" s="6" t="n">
        <v>7.5</v>
      </c>
      <c r="F4" s="6">
        <f>ROUND((C4+4*D4+E4)/6,2)</f>
        <v/>
      </c>
      <c r="G4" s="6">
        <f>ROUND((E4-C4)/6,2)</f>
        <v/>
      </c>
      <c r="H4" s="6" t="inlineStr">
        <is>
          <t>RF-001</t>
        </is>
      </c>
      <c r="I4" s="6" t="n">
        <v>4.17</v>
      </c>
      <c r="J4" s="6" t="n">
        <v>9.25</v>
      </c>
      <c r="K4" s="6" t="n">
        <v>0.17</v>
      </c>
      <c r="L4" s="6" t="inlineStr">
        <is>
          <t>No</t>
        </is>
      </c>
    </row>
    <row r="5">
      <c r="A5" s="6" t="inlineStr">
        <is>
          <t>RF-003</t>
        </is>
      </c>
      <c r="B5" s="4" t="inlineStr">
        <is>
          <t>Sesión cifrada y protección de rutas</t>
        </is>
      </c>
      <c r="C5" s="6" t="n">
        <v>3</v>
      </c>
      <c r="D5" s="6" t="n">
        <v>4.5</v>
      </c>
      <c r="E5" s="6" t="n">
        <v>8</v>
      </c>
      <c r="F5" s="6">
        <f>ROUND((C5+4*D5+E5)/6,2)</f>
        <v/>
      </c>
      <c r="G5" s="6">
        <f>ROUND((E5-C5)/6,2)</f>
        <v/>
      </c>
      <c r="H5" s="6" t="inlineStr">
        <is>
          <t>RF-001</t>
        </is>
      </c>
      <c r="I5" s="6" t="n">
        <v>4.17</v>
      </c>
      <c r="J5" s="6" t="n">
        <v>9</v>
      </c>
      <c r="K5" s="6" t="n">
        <v>24.67</v>
      </c>
      <c r="L5" s="6" t="inlineStr">
        <is>
          <t>No</t>
        </is>
      </c>
    </row>
    <row r="6">
      <c r="A6" s="6" t="inlineStr">
        <is>
          <t>RF-004</t>
        </is>
      </c>
      <c r="B6" s="4" t="inlineStr">
        <is>
          <t>Recuperación de contraseña</t>
        </is>
      </c>
      <c r="C6" s="6" t="n">
        <v>1.5</v>
      </c>
      <c r="D6" s="6" t="n">
        <v>2.5</v>
      </c>
      <c r="E6" s="6" t="n">
        <v>4</v>
      </c>
      <c r="F6" s="6">
        <f>ROUND((C6+4*D6+E6)/6,2)</f>
        <v/>
      </c>
      <c r="G6" s="6">
        <f>ROUND((E6-C6)/6,2)</f>
        <v/>
      </c>
      <c r="H6" s="6" t="inlineStr">
        <is>
          <t>RF-002</t>
        </is>
      </c>
      <c r="I6" s="6" t="n">
        <v>9.25</v>
      </c>
      <c r="J6" s="6" t="n">
        <v>11.83</v>
      </c>
      <c r="K6" s="6" t="n">
        <v>24.25</v>
      </c>
      <c r="L6" s="6" t="inlineStr">
        <is>
          <t>No</t>
        </is>
      </c>
    </row>
    <row r="7">
      <c r="A7" s="6" t="inlineStr">
        <is>
          <t>RF-005</t>
        </is>
      </c>
      <c r="B7" s="4" t="inlineStr">
        <is>
          <t>Perfil del usuario</t>
        </is>
      </c>
      <c r="C7" s="6" t="n">
        <v>1.5</v>
      </c>
      <c r="D7" s="6" t="n">
        <v>2</v>
      </c>
      <c r="E7" s="6" t="n">
        <v>3</v>
      </c>
      <c r="F7" s="6">
        <f>ROUND((C7+4*D7+E7)/6,2)</f>
        <v/>
      </c>
      <c r="G7" s="6">
        <f>ROUND((E7-C7)/6,2)</f>
        <v/>
      </c>
      <c r="H7" s="6" t="inlineStr">
        <is>
          <t>RF-001</t>
        </is>
      </c>
      <c r="I7" s="6" t="n">
        <v>4.17</v>
      </c>
      <c r="J7" s="6" t="n">
        <v>6.25</v>
      </c>
      <c r="K7" s="6" t="n">
        <v>26</v>
      </c>
      <c r="L7" s="6" t="inlineStr">
        <is>
          <t>No</t>
        </is>
      </c>
    </row>
    <row r="8">
      <c r="A8" s="6" t="inlineStr">
        <is>
          <t>RF-006</t>
        </is>
      </c>
      <c r="B8" s="4" t="inlineStr">
        <is>
          <t>Edición del perfil</t>
        </is>
      </c>
      <c r="C8" s="6" t="n">
        <v>2</v>
      </c>
      <c r="D8" s="6" t="n">
        <v>2.5</v>
      </c>
      <c r="E8" s="6" t="n">
        <v>4.5</v>
      </c>
      <c r="F8" s="6">
        <f>ROUND((C8+4*D8+E8)/6,2)</f>
        <v/>
      </c>
      <c r="G8" s="6">
        <f>ROUND((E8-C8)/6,2)</f>
        <v/>
      </c>
      <c r="H8" s="6" t="inlineStr">
        <is>
          <t>RF-005</t>
        </is>
      </c>
      <c r="I8" s="6" t="n">
        <v>6.25</v>
      </c>
      <c r="J8" s="6" t="n">
        <v>9</v>
      </c>
      <c r="K8" s="6" t="n">
        <v>27.08</v>
      </c>
      <c r="L8" s="6" t="inlineStr">
        <is>
          <t>No</t>
        </is>
      </c>
    </row>
    <row r="9">
      <c r="A9" s="11" t="inlineStr">
        <is>
          <t>RF-007</t>
        </is>
      </c>
      <c r="B9" s="12" t="inlineStr">
        <is>
          <t>Catálogo de prendas</t>
        </is>
      </c>
      <c r="C9" s="11" t="n">
        <v>5.5</v>
      </c>
      <c r="D9" s="11" t="n">
        <v>7</v>
      </c>
      <c r="E9" s="11" t="n">
        <v>13</v>
      </c>
      <c r="F9" s="11">
        <f>ROUND((C9+4*D9+E9)/6,2)</f>
        <v/>
      </c>
      <c r="G9" s="11">
        <f>ROUND((E9-C9)/6,2)</f>
        <v/>
      </c>
      <c r="H9" s="11" t="inlineStr">
        <is>
          <t>—</t>
        </is>
      </c>
      <c r="I9" s="11" t="n">
        <v>0</v>
      </c>
      <c r="J9" s="11" t="n">
        <v>7.75</v>
      </c>
      <c r="K9" s="11" t="n">
        <v>-0</v>
      </c>
      <c r="L9" s="11" t="inlineStr">
        <is>
          <t>Sí</t>
        </is>
      </c>
    </row>
    <row r="10">
      <c r="A10" s="6" t="inlineStr">
        <is>
          <t>RF-008</t>
        </is>
      </c>
      <c r="B10" s="4" t="inlineStr">
        <is>
          <t>Búsqueda y filtros</t>
        </is>
      </c>
      <c r="C10" s="6" t="n">
        <v>2</v>
      </c>
      <c r="D10" s="6" t="n">
        <v>4</v>
      </c>
      <c r="E10" s="6" t="n">
        <v>5</v>
      </c>
      <c r="F10" s="6">
        <f>ROUND((C10+4*D10+E10)/6,2)</f>
        <v/>
      </c>
      <c r="G10" s="6">
        <f>ROUND((E10-C10)/6,2)</f>
        <v/>
      </c>
      <c r="H10" s="6" t="inlineStr">
        <is>
          <t>RF-007</t>
        </is>
      </c>
      <c r="I10" s="6" t="n">
        <v>7.75</v>
      </c>
      <c r="J10" s="6" t="n">
        <v>11.58</v>
      </c>
      <c r="K10" s="6" t="n">
        <v>24.5</v>
      </c>
      <c r="L10" s="6" t="inlineStr">
        <is>
          <t>No</t>
        </is>
      </c>
    </row>
    <row r="11">
      <c r="A11" s="6" t="inlineStr">
        <is>
          <t>RF-009</t>
        </is>
      </c>
      <c r="B11" s="4" t="inlineStr">
        <is>
          <t>Detalle de la prenda</t>
        </is>
      </c>
      <c r="C11" s="6" t="n">
        <v>1.5</v>
      </c>
      <c r="D11" s="6" t="n">
        <v>2.5</v>
      </c>
      <c r="E11" s="6" t="n">
        <v>4</v>
      </c>
      <c r="F11" s="6">
        <f>ROUND((C11+4*D11+E11)/6,2)</f>
        <v/>
      </c>
      <c r="G11" s="6">
        <f>ROUND((E11-C11)/6,2)</f>
        <v/>
      </c>
      <c r="H11" s="6" t="inlineStr">
        <is>
          <t>RF-007</t>
        </is>
      </c>
      <c r="I11" s="6" t="n">
        <v>7.75</v>
      </c>
      <c r="J11" s="6" t="n">
        <v>10.33</v>
      </c>
      <c r="K11" s="6" t="n">
        <v>1.58</v>
      </c>
      <c r="L11" s="6" t="inlineStr">
        <is>
          <t>No</t>
        </is>
      </c>
    </row>
    <row r="12">
      <c r="A12" s="6" t="inlineStr">
        <is>
          <t>RF-010</t>
        </is>
      </c>
      <c r="B12" s="4" t="inlineStr">
        <is>
          <t>Prenda agotada</t>
        </is>
      </c>
      <c r="C12" s="6" t="n">
        <v>1.5</v>
      </c>
      <c r="D12" s="6" t="n">
        <v>2</v>
      </c>
      <c r="E12" s="6" t="n">
        <v>3</v>
      </c>
      <c r="F12" s="6">
        <f>ROUND((C12+4*D12+E12)/6,2)</f>
        <v/>
      </c>
      <c r="G12" s="6">
        <f>ROUND((E12-C12)/6,2)</f>
        <v/>
      </c>
      <c r="H12" s="6" t="inlineStr">
        <is>
          <t>RF-007</t>
        </is>
      </c>
      <c r="I12" s="6" t="n">
        <v>7.75</v>
      </c>
      <c r="J12" s="6" t="n">
        <v>9.83</v>
      </c>
      <c r="K12" s="6" t="n">
        <v>26.25</v>
      </c>
      <c r="L12" s="6" t="inlineStr">
        <is>
          <t>No</t>
        </is>
      </c>
    </row>
    <row r="13">
      <c r="A13" s="6" t="inlineStr">
        <is>
          <t>RF-011</t>
        </is>
      </c>
      <c r="B13" s="4" t="inlineStr">
        <is>
          <t>Favoritos</t>
        </is>
      </c>
      <c r="C13" s="6" t="n">
        <v>1.5</v>
      </c>
      <c r="D13" s="6" t="n">
        <v>1.5</v>
      </c>
      <c r="E13" s="6" t="n">
        <v>3</v>
      </c>
      <c r="F13" s="6">
        <f>ROUND((C13+4*D13+E13)/6,2)</f>
        <v/>
      </c>
      <c r="G13" s="6">
        <f>ROUND((E13-C13)/6,2)</f>
        <v/>
      </c>
      <c r="H13" s="6" t="inlineStr">
        <is>
          <t>RF-009</t>
        </is>
      </c>
      <c r="I13" s="6" t="n">
        <v>10.33</v>
      </c>
      <c r="J13" s="6" t="n">
        <v>12.08</v>
      </c>
      <c r="K13" s="6" t="n">
        <v>24</v>
      </c>
      <c r="L13" s="6" t="inlineStr">
        <is>
          <t>No</t>
        </is>
      </c>
    </row>
    <row r="14">
      <c r="A14" s="11" t="inlineStr">
        <is>
          <t>RF-012</t>
        </is>
      </c>
      <c r="B14" s="12" t="inlineStr">
        <is>
          <t>Publicación de prendas</t>
        </is>
      </c>
      <c r="C14" s="11" t="n">
        <v>5</v>
      </c>
      <c r="D14" s="11" t="n">
        <v>7</v>
      </c>
      <c r="E14" s="11" t="n">
        <v>11</v>
      </c>
      <c r="F14" s="11">
        <f>ROUND((C14+4*D14+E14)/6,2)</f>
        <v/>
      </c>
      <c r="G14" s="11">
        <f>ROUND((E14-C14)/6,2)</f>
        <v/>
      </c>
      <c r="H14" s="11" t="inlineStr">
        <is>
          <t>RF-001, RF-007</t>
        </is>
      </c>
      <c r="I14" s="11" t="n">
        <v>7.75</v>
      </c>
      <c r="J14" s="11" t="n">
        <v>15.08</v>
      </c>
      <c r="K14" s="11" t="n">
        <v>-0</v>
      </c>
      <c r="L14" s="11" t="inlineStr">
        <is>
          <t>Sí</t>
        </is>
      </c>
    </row>
    <row r="15">
      <c r="A15" s="6" t="inlineStr">
        <is>
          <t>RF-013</t>
        </is>
      </c>
      <c r="B15" s="4" t="inlineStr">
        <is>
          <t>Borradores sin conexión</t>
        </is>
      </c>
      <c r="C15" s="6" t="n">
        <v>1.5</v>
      </c>
      <c r="D15" s="6" t="n">
        <v>2</v>
      </c>
      <c r="E15" s="6" t="n">
        <v>3</v>
      </c>
      <c r="F15" s="6">
        <f>ROUND((C15+4*D15+E15)/6,2)</f>
        <v/>
      </c>
      <c r="G15" s="6">
        <f>ROUND((E15-C15)/6,2)</f>
        <v/>
      </c>
      <c r="H15" s="6" t="inlineStr">
        <is>
          <t>RF-012</t>
        </is>
      </c>
      <c r="I15" s="6" t="n">
        <v>15.08</v>
      </c>
      <c r="J15" s="6" t="n">
        <v>17.17</v>
      </c>
      <c r="K15" s="6" t="n">
        <v>18.92</v>
      </c>
      <c r="L15" s="6" t="inlineStr">
        <is>
          <t>No</t>
        </is>
      </c>
    </row>
    <row r="16">
      <c r="A16" s="6" t="inlineStr">
        <is>
          <t>RF-014</t>
        </is>
      </c>
      <c r="B16" s="4" t="inlineStr">
        <is>
          <t>Comisión de NEW YOU</t>
        </is>
      </c>
      <c r="C16" s="6" t="n">
        <v>1.5</v>
      </c>
      <c r="D16" s="6" t="n">
        <v>1.5</v>
      </c>
      <c r="E16" s="6" t="n">
        <v>3</v>
      </c>
      <c r="F16" s="6">
        <f>ROUND((C16+4*D16+E16)/6,2)</f>
        <v/>
      </c>
      <c r="G16" s="6">
        <f>ROUND((E16-C16)/6,2)</f>
        <v/>
      </c>
      <c r="H16" s="6" t="inlineStr">
        <is>
          <t>RF-012</t>
        </is>
      </c>
      <c r="I16" s="6" t="n">
        <v>15.08</v>
      </c>
      <c r="J16" s="6" t="n">
        <v>16.83</v>
      </c>
      <c r="K16" s="6" t="n">
        <v>19.25</v>
      </c>
      <c r="L16" s="6" t="inlineStr">
        <is>
          <t>No</t>
        </is>
      </c>
    </row>
    <row r="17">
      <c r="A17" s="6" t="inlineStr">
        <is>
          <t>RF-015</t>
        </is>
      </c>
      <c r="B17" s="4" t="inlineStr">
        <is>
          <t>Administración de publicaciones</t>
        </is>
      </c>
      <c r="C17" s="6" t="n">
        <v>4</v>
      </c>
      <c r="D17" s="6" t="n">
        <v>5</v>
      </c>
      <c r="E17" s="6" t="n">
        <v>9</v>
      </c>
      <c r="F17" s="6">
        <f>ROUND((C17+4*D17+E17)/6,2)</f>
        <v/>
      </c>
      <c r="G17" s="6">
        <f>ROUND((E17-C17)/6,2)</f>
        <v/>
      </c>
      <c r="H17" s="6" t="inlineStr">
        <is>
          <t>RF-012</t>
        </is>
      </c>
      <c r="I17" s="6" t="n">
        <v>15.08</v>
      </c>
      <c r="J17" s="6" t="n">
        <v>20.58</v>
      </c>
      <c r="K17" s="6" t="n">
        <v>15.5</v>
      </c>
      <c r="L17" s="6" t="inlineStr">
        <is>
          <t>No</t>
        </is>
      </c>
    </row>
    <row r="18">
      <c r="A18" s="6" t="inlineStr">
        <is>
          <t>RF-029</t>
        </is>
      </c>
      <c r="B18" s="4" t="inlineStr">
        <is>
          <t>Alta de empresa</t>
        </is>
      </c>
      <c r="C18" s="6" t="n">
        <v>2.5</v>
      </c>
      <c r="D18" s="6" t="n">
        <v>3.5</v>
      </c>
      <c r="E18" s="6" t="n">
        <v>5</v>
      </c>
      <c r="F18" s="6">
        <f>ROUND((C18+4*D18+E18)/6,2)</f>
        <v/>
      </c>
      <c r="G18" s="6">
        <f>ROUND((E18-C18)/6,2)</f>
        <v/>
      </c>
      <c r="H18" s="6" t="inlineStr">
        <is>
          <t>RF-002</t>
        </is>
      </c>
      <c r="I18" s="6" t="n">
        <v>9.25</v>
      </c>
      <c r="J18" s="6" t="n">
        <v>12.83</v>
      </c>
      <c r="K18" s="6" t="n">
        <v>0.17</v>
      </c>
      <c r="L18" s="6" t="inlineStr">
        <is>
          <t>No</t>
        </is>
      </c>
    </row>
    <row r="19">
      <c r="A19" s="6" t="inlineStr">
        <is>
          <t>RF-032</t>
        </is>
      </c>
      <c r="B19" s="4" t="inlineStr">
        <is>
          <t>Sedes</t>
        </is>
      </c>
      <c r="C19" s="6" t="n">
        <v>1.5</v>
      </c>
      <c r="D19" s="6" t="n">
        <v>2</v>
      </c>
      <c r="E19" s="6" t="n">
        <v>3</v>
      </c>
      <c r="F19" s="6">
        <f>ROUND((C19+4*D19+E19)/6,2)</f>
        <v/>
      </c>
      <c r="G19" s="6">
        <f>ROUND((E19-C19)/6,2)</f>
        <v/>
      </c>
      <c r="H19" s="6" t="inlineStr">
        <is>
          <t>RF-029</t>
        </is>
      </c>
      <c r="I19" s="6" t="n">
        <v>12.83</v>
      </c>
      <c r="J19" s="6" t="n">
        <v>14.92</v>
      </c>
      <c r="K19" s="6" t="n">
        <v>0.17</v>
      </c>
      <c r="L19" s="6" t="inlineStr">
        <is>
          <t>No</t>
        </is>
      </c>
    </row>
    <row r="20">
      <c r="A20" s="11" t="inlineStr">
        <is>
          <t>RF-016</t>
        </is>
      </c>
      <c r="B20" s="12" t="inlineStr">
        <is>
          <t>Stock por talle y por sede</t>
        </is>
      </c>
      <c r="C20" s="11" t="n">
        <v>3.5</v>
      </c>
      <c r="D20" s="11" t="n">
        <v>4.5</v>
      </c>
      <c r="E20" s="11" t="n">
        <v>7</v>
      </c>
      <c r="F20" s="11">
        <f>ROUND((C20+4*D20+E20)/6,2)</f>
        <v/>
      </c>
      <c r="G20" s="11">
        <f>ROUND((E20-C20)/6,2)</f>
        <v/>
      </c>
      <c r="H20" s="11" t="inlineStr">
        <is>
          <t>RF-012, RF-032</t>
        </is>
      </c>
      <c r="I20" s="11" t="n">
        <v>15.08</v>
      </c>
      <c r="J20" s="11" t="n">
        <v>19.83</v>
      </c>
      <c r="K20" s="11" t="n">
        <v>0</v>
      </c>
      <c r="L20" s="11" t="inlineStr">
        <is>
          <t>Sí</t>
        </is>
      </c>
    </row>
    <row r="21">
      <c r="A21" s="6" t="inlineStr">
        <is>
          <t>RF-017</t>
        </is>
      </c>
      <c r="B21" s="4" t="inlineStr">
        <is>
          <t>Descuentos y promociones</t>
        </is>
      </c>
      <c r="C21" s="6" t="n">
        <v>2</v>
      </c>
      <c r="D21" s="6" t="n">
        <v>3</v>
      </c>
      <c r="E21" s="6" t="n">
        <v>4</v>
      </c>
      <c r="F21" s="6">
        <f>ROUND((C21+4*D21+E21)/6,2)</f>
        <v/>
      </c>
      <c r="G21" s="6">
        <f>ROUND((E21-C21)/6,2)</f>
        <v/>
      </c>
      <c r="H21" s="6" t="inlineStr">
        <is>
          <t>RF-012</t>
        </is>
      </c>
      <c r="I21" s="6" t="n">
        <v>15.08</v>
      </c>
      <c r="J21" s="6" t="n">
        <v>18.08</v>
      </c>
      <c r="K21" s="6" t="n">
        <v>18</v>
      </c>
      <c r="L21" s="6" t="inlineStr">
        <is>
          <t>No</t>
        </is>
      </c>
    </row>
    <row r="22">
      <c r="A22" s="6" t="inlineStr">
        <is>
          <t>RF-018</t>
        </is>
      </c>
      <c r="B22" s="4" t="inlineStr">
        <is>
          <t>Carrito de compras</t>
        </is>
      </c>
      <c r="C22" s="6" t="n">
        <v>2.5</v>
      </c>
      <c r="D22" s="6" t="n">
        <v>3</v>
      </c>
      <c r="E22" s="6" t="n">
        <v>4.5</v>
      </c>
      <c r="F22" s="6">
        <f>ROUND((C22+4*D22+E22)/6,2)</f>
        <v/>
      </c>
      <c r="G22" s="6">
        <f>ROUND((E22-C22)/6,2)</f>
        <v/>
      </c>
      <c r="H22" s="6" t="inlineStr">
        <is>
          <t>RF-009</t>
        </is>
      </c>
      <c r="I22" s="6" t="n">
        <v>10.33</v>
      </c>
      <c r="J22" s="6" t="n">
        <v>13.5</v>
      </c>
      <c r="K22" s="6" t="n">
        <v>1.58</v>
      </c>
      <c r="L22" s="6" t="inlineStr">
        <is>
          <t>No</t>
        </is>
      </c>
    </row>
    <row r="23">
      <c r="A23" s="6" t="inlineStr">
        <is>
          <t>RF-019</t>
        </is>
      </c>
      <c r="B23" s="4" t="inlineStr">
        <is>
          <t>Forma de entrega y direcciones</t>
        </is>
      </c>
      <c r="C23" s="6" t="n">
        <v>2.5</v>
      </c>
      <c r="D23" s="6" t="n">
        <v>5</v>
      </c>
      <c r="E23" s="6" t="n">
        <v>6</v>
      </c>
      <c r="F23" s="6">
        <f>ROUND((C23+4*D23+E23)/6,2)</f>
        <v/>
      </c>
      <c r="G23" s="6">
        <f>ROUND((E23-C23)/6,2)</f>
        <v/>
      </c>
      <c r="H23" s="6" t="inlineStr">
        <is>
          <t>RF-018</t>
        </is>
      </c>
      <c r="I23" s="6" t="n">
        <v>13.5</v>
      </c>
      <c r="J23" s="6" t="n">
        <v>18.25</v>
      </c>
      <c r="K23" s="6" t="n">
        <v>1.58</v>
      </c>
      <c r="L23" s="6" t="inlineStr">
        <is>
          <t>No</t>
        </is>
      </c>
    </row>
    <row r="24">
      <c r="A24" s="6" t="inlineStr">
        <is>
          <t>RF-020</t>
        </is>
      </c>
      <c r="B24" s="4" t="inlineStr">
        <is>
          <t>Medio de pago simulado</t>
        </is>
      </c>
      <c r="C24" s="6" t="n">
        <v>1</v>
      </c>
      <c r="D24" s="6" t="n">
        <v>1</v>
      </c>
      <c r="E24" s="6" t="n">
        <v>2</v>
      </c>
      <c r="F24" s="6">
        <f>ROUND((C24+4*D24+E24)/6,2)</f>
        <v/>
      </c>
      <c r="G24" s="6">
        <f>ROUND((E24-C24)/6,2)</f>
        <v/>
      </c>
      <c r="H24" s="6" t="inlineStr">
        <is>
          <t>RF-018</t>
        </is>
      </c>
      <c r="I24" s="6" t="n">
        <v>13.5</v>
      </c>
      <c r="J24" s="6" t="n">
        <v>14.67</v>
      </c>
      <c r="K24" s="6" t="n">
        <v>5.17</v>
      </c>
      <c r="L24" s="6" t="inlineStr">
        <is>
          <t>No</t>
        </is>
      </c>
    </row>
    <row r="25">
      <c r="A25" s="11" t="inlineStr">
        <is>
          <t>RF-021</t>
        </is>
      </c>
      <c r="B25" s="12" t="inlineStr">
        <is>
          <t>Resumen y confirmación de compra</t>
        </is>
      </c>
      <c r="C25" s="11" t="n">
        <v>4</v>
      </c>
      <c r="D25" s="11" t="n">
        <v>6.5</v>
      </c>
      <c r="E25" s="11" t="n">
        <v>10</v>
      </c>
      <c r="F25" s="11">
        <f>ROUND((C25+4*D25+E25)/6,2)</f>
        <v/>
      </c>
      <c r="G25" s="11">
        <f>ROUND((E25-C25)/6,2)</f>
        <v/>
      </c>
      <c r="H25" s="11" t="inlineStr">
        <is>
          <t>RF-019, RF-020, RF-016</t>
        </is>
      </c>
      <c r="I25" s="11" t="n">
        <v>19.83</v>
      </c>
      <c r="J25" s="11" t="n">
        <v>26.5</v>
      </c>
      <c r="K25" s="11" t="n">
        <v>0</v>
      </c>
      <c r="L25" s="11" t="inlineStr">
        <is>
          <t>Sí</t>
        </is>
      </c>
    </row>
    <row r="26">
      <c r="A26" s="6" t="inlineStr">
        <is>
          <t>RF-022</t>
        </is>
      </c>
      <c r="B26" s="4" t="inlineStr">
        <is>
          <t>Correo de confirmación de compra</t>
        </is>
      </c>
      <c r="C26" s="6" t="n">
        <v>1.5</v>
      </c>
      <c r="D26" s="6" t="n">
        <v>2</v>
      </c>
      <c r="E26" s="6" t="n">
        <v>3</v>
      </c>
      <c r="F26" s="6">
        <f>ROUND((C26+4*D26+E26)/6,2)</f>
        <v/>
      </c>
      <c r="G26" s="6">
        <f>ROUND((E26-C26)/6,2)</f>
        <v/>
      </c>
      <c r="H26" s="6" t="inlineStr">
        <is>
          <t>RF-021</t>
        </is>
      </c>
      <c r="I26" s="6" t="n">
        <v>26.5</v>
      </c>
      <c r="J26" s="6" t="n">
        <v>28.58</v>
      </c>
      <c r="K26" s="6" t="n">
        <v>7.5</v>
      </c>
      <c r="L26" s="6" t="inlineStr">
        <is>
          <t>No</t>
        </is>
      </c>
    </row>
    <row r="27">
      <c r="A27" s="6" t="inlineStr">
        <is>
          <t>RF-023</t>
        </is>
      </c>
      <c r="B27" s="4" t="inlineStr">
        <is>
          <t>Historial de compras</t>
        </is>
      </c>
      <c r="C27" s="6" t="n">
        <v>2</v>
      </c>
      <c r="D27" s="6" t="n">
        <v>2</v>
      </c>
      <c r="E27" s="6" t="n">
        <v>4</v>
      </c>
      <c r="F27" s="6">
        <f>ROUND((C27+4*D27+E27)/6,2)</f>
        <v/>
      </c>
      <c r="G27" s="6">
        <f>ROUND((E27-C27)/6,2)</f>
        <v/>
      </c>
      <c r="H27" s="6" t="inlineStr">
        <is>
          <t>RF-021</t>
        </is>
      </c>
      <c r="I27" s="6" t="n">
        <v>26.5</v>
      </c>
      <c r="J27" s="6" t="n">
        <v>28.83</v>
      </c>
      <c r="K27" s="6" t="n">
        <v>7.25</v>
      </c>
      <c r="L27" s="6" t="inlineStr">
        <is>
          <t>No</t>
        </is>
      </c>
    </row>
    <row r="28">
      <c r="A28" s="6" t="inlineStr">
        <is>
          <t>RF-024</t>
        </is>
      </c>
      <c r="B28" s="4" t="inlineStr">
        <is>
          <t>Geolocalización y mapa</t>
        </is>
      </c>
      <c r="C28" s="6" t="n">
        <v>2.5</v>
      </c>
      <c r="D28" s="6" t="n">
        <v>4</v>
      </c>
      <c r="E28" s="6" t="n">
        <v>6</v>
      </c>
      <c r="F28" s="6">
        <f>ROUND((C28+4*D28+E28)/6,2)</f>
        <v/>
      </c>
      <c r="G28" s="6">
        <f>ROUND((E28-C28)/6,2)</f>
        <v/>
      </c>
      <c r="H28" s="6" t="inlineStr">
        <is>
          <t>—</t>
        </is>
      </c>
      <c r="I28" s="6" t="n">
        <v>0</v>
      </c>
      <c r="J28" s="6" t="n">
        <v>4.08</v>
      </c>
      <c r="K28" s="6" t="n">
        <v>32</v>
      </c>
      <c r="L28" s="6" t="inlineStr">
        <is>
          <t>No</t>
        </is>
      </c>
    </row>
    <row r="29">
      <c r="A29" s="6" t="inlineStr">
        <is>
          <t>RF-025</t>
        </is>
      </c>
      <c r="B29" s="4" t="inlineStr">
        <is>
          <t>Mis ventas y estado de pedidos</t>
        </is>
      </c>
      <c r="C29" s="6" t="n">
        <v>3</v>
      </c>
      <c r="D29" s="6" t="n">
        <v>4</v>
      </c>
      <c r="E29" s="6" t="n">
        <v>6</v>
      </c>
      <c r="F29" s="6">
        <f>ROUND((C29+4*D29+E29)/6,2)</f>
        <v/>
      </c>
      <c r="G29" s="6">
        <f>ROUND((E29-C29)/6,2)</f>
        <v/>
      </c>
      <c r="H29" s="6" t="inlineStr">
        <is>
          <t>RF-021</t>
        </is>
      </c>
      <c r="I29" s="6" t="n">
        <v>26.5</v>
      </c>
      <c r="J29" s="6" t="n">
        <v>30.67</v>
      </c>
      <c r="K29" s="6" t="n">
        <v>1.25</v>
      </c>
      <c r="L29" s="6" t="inlineStr">
        <is>
          <t>No</t>
        </is>
      </c>
    </row>
    <row r="30">
      <c r="A30" s="6" t="inlineStr">
        <is>
          <t>RF-026</t>
        </is>
      </c>
      <c r="B30" s="4" t="inlineStr">
        <is>
          <t>Calificación de vendedores</t>
        </is>
      </c>
      <c r="C30" s="6" t="n">
        <v>1.5</v>
      </c>
      <c r="D30" s="6" t="n">
        <v>2</v>
      </c>
      <c r="E30" s="6" t="n">
        <v>3</v>
      </c>
      <c r="F30" s="6">
        <f>ROUND((C30+4*D30+E30)/6,2)</f>
        <v/>
      </c>
      <c r="G30" s="6">
        <f>ROUND((E30-C30)/6,2)</f>
        <v/>
      </c>
      <c r="H30" s="6" t="inlineStr">
        <is>
          <t>RF-025</t>
        </is>
      </c>
      <c r="I30" s="6" t="n">
        <v>30.67</v>
      </c>
      <c r="J30" s="6" t="n">
        <v>32.75</v>
      </c>
      <c r="K30" s="6" t="n">
        <v>1.25</v>
      </c>
      <c r="L30" s="6" t="inlineStr">
        <is>
          <t>No</t>
        </is>
      </c>
    </row>
    <row r="31">
      <c r="A31" s="6" t="inlineStr">
        <is>
          <t>RF-027</t>
        </is>
      </c>
      <c r="B31" s="4" t="inlineStr">
        <is>
          <t>Página pública del vendedor</t>
        </is>
      </c>
      <c r="C31" s="6" t="n">
        <v>1.5</v>
      </c>
      <c r="D31" s="6" t="n">
        <v>2</v>
      </c>
      <c r="E31" s="6" t="n">
        <v>3</v>
      </c>
      <c r="F31" s="6">
        <f>ROUND((C31+4*D31+E31)/6,2)</f>
        <v/>
      </c>
      <c r="G31" s="6">
        <f>ROUND((E31-C31)/6,2)</f>
        <v/>
      </c>
      <c r="H31" s="6" t="inlineStr">
        <is>
          <t>RF-026</t>
        </is>
      </c>
      <c r="I31" s="6" t="n">
        <v>32.75</v>
      </c>
      <c r="J31" s="6" t="n">
        <v>34.83</v>
      </c>
      <c r="K31" s="6" t="n">
        <v>1.25</v>
      </c>
      <c r="L31" s="6" t="inlineStr">
        <is>
          <t>No</t>
        </is>
      </c>
    </row>
    <row r="32">
      <c r="A32" s="6" t="inlineStr">
        <is>
          <t>RF-028</t>
        </is>
      </c>
      <c r="B32" s="4" t="inlineStr">
        <is>
          <t>Notificaciones push</t>
        </is>
      </c>
      <c r="C32" s="6" t="n">
        <v>2.5</v>
      </c>
      <c r="D32" s="6" t="n">
        <v>3</v>
      </c>
      <c r="E32" s="6" t="n">
        <v>6</v>
      </c>
      <c r="F32" s="6">
        <f>ROUND((C32+4*D32+E32)/6,2)</f>
        <v/>
      </c>
      <c r="G32" s="6">
        <f>ROUND((E32-C32)/6,2)</f>
        <v/>
      </c>
      <c r="H32" s="6" t="inlineStr">
        <is>
          <t>RF-025</t>
        </is>
      </c>
      <c r="I32" s="6" t="n">
        <v>30.67</v>
      </c>
      <c r="J32" s="6" t="n">
        <v>34.08</v>
      </c>
      <c r="K32" s="6" t="n">
        <v>2</v>
      </c>
      <c r="L32" s="6" t="inlineStr">
        <is>
          <t>No</t>
        </is>
      </c>
    </row>
    <row r="33">
      <c r="A33" s="6" t="inlineStr">
        <is>
          <t>RF-031</t>
        </is>
      </c>
      <c r="B33" s="4" t="inlineStr">
        <is>
          <t>Equipo e invitaciones</t>
        </is>
      </c>
      <c r="C33" s="6" t="n">
        <v>3</v>
      </c>
      <c r="D33" s="6" t="n">
        <v>4.5</v>
      </c>
      <c r="E33" s="6" t="n">
        <v>6</v>
      </c>
      <c r="F33" s="6">
        <f>ROUND((C33+4*D33+E33)/6,2)</f>
        <v/>
      </c>
      <c r="G33" s="6">
        <f>ROUND((E33-C33)/6,2)</f>
        <v/>
      </c>
      <c r="H33" s="6" t="inlineStr">
        <is>
          <t>RF-029</t>
        </is>
      </c>
      <c r="I33" s="6" t="n">
        <v>12.83</v>
      </c>
      <c r="J33" s="6" t="n">
        <v>17.33</v>
      </c>
      <c r="K33" s="6" t="n">
        <v>16.33</v>
      </c>
      <c r="L33" s="6" t="inlineStr">
        <is>
          <t>No</t>
        </is>
      </c>
    </row>
    <row r="34">
      <c r="A34" s="6" t="inlineStr">
        <is>
          <t>RF-030</t>
        </is>
      </c>
      <c r="B34" s="4" t="inlineStr">
        <is>
          <t>Modo Yo / Empresa</t>
        </is>
      </c>
      <c r="C34" s="6" t="n">
        <v>1.5</v>
      </c>
      <c r="D34" s="6" t="n">
        <v>2.5</v>
      </c>
      <c r="E34" s="6" t="n">
        <v>3</v>
      </c>
      <c r="F34" s="6">
        <f>ROUND((C34+4*D34+E34)/6,2)</f>
        <v/>
      </c>
      <c r="G34" s="6">
        <f>ROUND((E34-C34)/6,2)</f>
        <v/>
      </c>
      <c r="H34" s="6" t="inlineStr">
        <is>
          <t>RF-029, RF-031</t>
        </is>
      </c>
      <c r="I34" s="6" t="n">
        <v>17.33</v>
      </c>
      <c r="J34" s="6" t="n">
        <v>19.75</v>
      </c>
      <c r="K34" s="6" t="n">
        <v>16.33</v>
      </c>
      <c r="L34" s="6" t="inlineStr">
        <is>
          <t>No</t>
        </is>
      </c>
    </row>
    <row r="35">
      <c r="A35" s="6" t="inlineStr">
        <is>
          <t>RF-033</t>
        </is>
      </c>
      <c r="B35" s="4" t="inlineStr">
        <is>
          <t>Tienda pública de la empresa</t>
        </is>
      </c>
      <c r="C35" s="6" t="n">
        <v>1</v>
      </c>
      <c r="D35" s="6" t="n">
        <v>1.5</v>
      </c>
      <c r="E35" s="6" t="n">
        <v>2</v>
      </c>
      <c r="F35" s="6">
        <f>ROUND((C35+4*D35+E35)/6,2)</f>
        <v/>
      </c>
      <c r="G35" s="6">
        <f>ROUND((E35-C35)/6,2)</f>
        <v/>
      </c>
      <c r="H35" s="6" t="inlineStr">
        <is>
          <t>RF-029, RF-016</t>
        </is>
      </c>
      <c r="I35" s="6" t="n">
        <v>19.83</v>
      </c>
      <c r="J35" s="6" t="n">
        <v>21.33</v>
      </c>
      <c r="K35" s="6" t="n">
        <v>14.75</v>
      </c>
      <c r="L35" s="6" t="inlineStr">
        <is>
          <t>No</t>
        </is>
      </c>
    </row>
    <row r="36">
      <c r="A36" s="6" t="inlineStr">
        <is>
          <t>RF-034</t>
        </is>
      </c>
      <c r="B36" s="4" t="inlineStr">
        <is>
          <t>Métricas de ventas</t>
        </is>
      </c>
      <c r="C36" s="6" t="n">
        <v>2</v>
      </c>
      <c r="D36" s="6" t="n">
        <v>2.5</v>
      </c>
      <c r="E36" s="6" t="n">
        <v>4</v>
      </c>
      <c r="F36" s="6">
        <f>ROUND((C36+4*D36+E36)/6,2)</f>
        <v/>
      </c>
      <c r="G36" s="6">
        <f>ROUND((E36-C36)/6,2)</f>
        <v/>
      </c>
      <c r="H36" s="6" t="inlineStr">
        <is>
          <t>RF-025, RF-029</t>
        </is>
      </c>
      <c r="I36" s="6" t="n">
        <v>30.67</v>
      </c>
      <c r="J36" s="6" t="n">
        <v>33.33</v>
      </c>
      <c r="K36" s="6" t="n">
        <v>2.75</v>
      </c>
      <c r="L36" s="6" t="inlineStr">
        <is>
          <t>No</t>
        </is>
      </c>
    </row>
    <row r="37">
      <c r="A37" s="6" t="inlineStr">
        <is>
          <t>RF-035</t>
        </is>
      </c>
      <c r="B37" s="4" t="inlineStr">
        <is>
          <t>Panel de administración</t>
        </is>
      </c>
      <c r="C37" s="6" t="n">
        <v>1.5</v>
      </c>
      <c r="D37" s="6" t="n">
        <v>2.5</v>
      </c>
      <c r="E37" s="6" t="n">
        <v>3</v>
      </c>
      <c r="F37" s="6">
        <f>ROUND((C37+4*D37+E37)/6,2)</f>
        <v/>
      </c>
      <c r="G37" s="6">
        <f>ROUND((E37-C37)/6,2)</f>
        <v/>
      </c>
      <c r="H37" s="6" t="inlineStr">
        <is>
          <t>RF-003</t>
        </is>
      </c>
      <c r="I37" s="6" t="n">
        <v>9</v>
      </c>
      <c r="J37" s="6" t="n">
        <v>11.42</v>
      </c>
      <c r="K37" s="6" t="n">
        <v>24.67</v>
      </c>
      <c r="L37" s="6" t="inlineStr">
        <is>
          <t>No</t>
        </is>
      </c>
    </row>
    <row r="38">
      <c r="A38" s="6" t="inlineStr">
        <is>
          <t>RF-036</t>
        </is>
      </c>
      <c r="B38" s="4" t="inlineStr">
        <is>
          <t>Ajustes guardados</t>
        </is>
      </c>
      <c r="C38" s="6" t="n">
        <v>1.5</v>
      </c>
      <c r="D38" s="6" t="n">
        <v>2</v>
      </c>
      <c r="E38" s="6" t="n">
        <v>3</v>
      </c>
      <c r="F38" s="6">
        <f>ROUND((C38+4*D38+E38)/6,2)</f>
        <v/>
      </c>
      <c r="G38" s="6">
        <f>ROUND((E38-C38)/6,2)</f>
        <v/>
      </c>
      <c r="H38" s="6" t="inlineStr">
        <is>
          <t>RF-005</t>
        </is>
      </c>
      <c r="I38" s="6" t="n">
        <v>6.25</v>
      </c>
      <c r="J38" s="6" t="n">
        <v>8.33</v>
      </c>
      <c r="K38" s="6" t="n">
        <v>26</v>
      </c>
      <c r="L38" s="6" t="inlineStr">
        <is>
          <t>No</t>
        </is>
      </c>
    </row>
    <row r="39">
      <c r="A39" s="6" t="inlineStr">
        <is>
          <t>RF-037</t>
        </is>
      </c>
      <c r="B39" s="4" t="inlineStr">
        <is>
          <t>Modo oscuro</t>
        </is>
      </c>
      <c r="C39" s="6" t="n">
        <v>1.5</v>
      </c>
      <c r="D39" s="6" t="n">
        <v>1.5</v>
      </c>
      <c r="E39" s="6" t="n">
        <v>3</v>
      </c>
      <c r="F39" s="6">
        <f>ROUND((C39+4*D39+E39)/6,2)</f>
        <v/>
      </c>
      <c r="G39" s="6">
        <f>ROUND((E39-C39)/6,2)</f>
        <v/>
      </c>
      <c r="H39" s="6" t="inlineStr">
        <is>
          <t>RF-036</t>
        </is>
      </c>
      <c r="I39" s="6" t="n">
        <v>8.33</v>
      </c>
      <c r="J39" s="6" t="n">
        <v>10.08</v>
      </c>
      <c r="K39" s="6" t="n">
        <v>26</v>
      </c>
      <c r="L39" s="6" t="inlineStr">
        <is>
          <t>No</t>
        </is>
      </c>
    </row>
    <row r="40">
      <c r="A40" s="6" t="inlineStr">
        <is>
          <t>RF-038</t>
        </is>
      </c>
      <c r="B40" s="4" t="inlineStr">
        <is>
          <t>Aviso sin conexión</t>
        </is>
      </c>
      <c r="C40" s="6" t="n">
        <v>1</v>
      </c>
      <c r="D40" s="6" t="n">
        <v>1.5</v>
      </c>
      <c r="E40" s="6" t="n">
        <v>2</v>
      </c>
      <c r="F40" s="6">
        <f>ROUND((C40+4*D40+E40)/6,2)</f>
        <v/>
      </c>
      <c r="G40" s="6">
        <f>ROUND((E40-C40)/6,2)</f>
        <v/>
      </c>
      <c r="H40" s="6" t="inlineStr">
        <is>
          <t>—</t>
        </is>
      </c>
      <c r="I40" s="6" t="n">
        <v>0</v>
      </c>
      <c r="J40" s="6" t="n">
        <v>1.5</v>
      </c>
      <c r="K40" s="6" t="n">
        <v>34.58</v>
      </c>
      <c r="L40" s="6" t="inlineStr">
        <is>
          <t>No</t>
        </is>
      </c>
    </row>
    <row r="41">
      <c r="A41" s="11" t="inlineStr">
        <is>
          <t>RF-039</t>
        </is>
      </c>
      <c r="B41" s="12" t="inlineStr">
        <is>
          <t>Chat interno</t>
        </is>
      </c>
      <c r="C41" s="11" t="n">
        <v>6.5</v>
      </c>
      <c r="D41" s="11" t="n">
        <v>9</v>
      </c>
      <c r="E41" s="11" t="n">
        <v>15</v>
      </c>
      <c r="F41" s="11">
        <f>ROUND((C41+4*D41+E41)/6,2)</f>
        <v/>
      </c>
      <c r="G41" s="11">
        <f>ROUND((E41-C41)/6,2)</f>
        <v/>
      </c>
      <c r="H41" s="11" t="inlineStr">
        <is>
          <t>RF-021</t>
        </is>
      </c>
      <c r="I41" s="11" t="n">
        <v>26.5</v>
      </c>
      <c r="J41" s="11" t="n">
        <v>36.08</v>
      </c>
      <c r="K41" s="11" t="n">
        <v>0</v>
      </c>
      <c r="L41" s="11" t="inlineStr">
        <is>
          <t>Sí</t>
        </is>
      </c>
    </row>
    <row r="42">
      <c r="A42" s="6" t="inlineStr">
        <is>
          <t>RNF-001</t>
        </is>
      </c>
      <c r="B42" s="4" t="inlineStr">
        <is>
          <t>Rendimiento del catálogo</t>
        </is>
      </c>
      <c r="C42" s="6" t="n">
        <v>0.5</v>
      </c>
      <c r="D42" s="6" t="n">
        <v>1</v>
      </c>
      <c r="E42" s="6" t="n">
        <v>1</v>
      </c>
      <c r="F42" s="6">
        <f>ROUND((C42+4*D42+E42)/6,2)</f>
        <v/>
      </c>
      <c r="G42" s="6">
        <f>ROUND((E42-C42)/6,2)</f>
        <v/>
      </c>
      <c r="H42" s="6" t="inlineStr">
        <is>
          <t>RF-007</t>
        </is>
      </c>
      <c r="I42" s="6" t="n">
        <v>7.75</v>
      </c>
      <c r="J42" s="6" t="n">
        <v>8.67</v>
      </c>
      <c r="K42" s="6" t="n">
        <v>27.42</v>
      </c>
      <c r="L42" s="6" t="inlineStr">
        <is>
          <t>No</t>
        </is>
      </c>
    </row>
    <row r="43">
      <c r="A43" s="6" t="inlineStr">
        <is>
          <t>RNF-002</t>
        </is>
      </c>
      <c r="B43" s="4" t="inlineStr">
        <is>
          <t>Tokens de diseño</t>
        </is>
      </c>
      <c r="C43" s="6" t="n">
        <v>0.5</v>
      </c>
      <c r="D43" s="6" t="n">
        <v>1</v>
      </c>
      <c r="E43" s="6" t="n">
        <v>1</v>
      </c>
      <c r="F43" s="6">
        <f>ROUND((C43+4*D43+E43)/6,2)</f>
        <v/>
      </c>
      <c r="G43" s="6">
        <f>ROUND((E43-C43)/6,2)</f>
        <v/>
      </c>
      <c r="H43" s="6" t="inlineStr">
        <is>
          <t>—</t>
        </is>
      </c>
      <c r="I43" s="6" t="n">
        <v>0</v>
      </c>
      <c r="J43" s="6" t="n">
        <v>0.92</v>
      </c>
      <c r="K43" s="6" t="n">
        <v>35.17</v>
      </c>
      <c r="L43" s="6" t="inlineStr">
        <is>
          <t>No</t>
        </is>
      </c>
    </row>
    <row r="44">
      <c r="A44" s="6" t="inlineStr">
        <is>
          <t>RNF-003</t>
        </is>
      </c>
      <c r="B44" s="4" t="inlineStr">
        <is>
          <t>Seguridad a nivel de fila (RLS)</t>
        </is>
      </c>
      <c r="C44" s="6" t="n">
        <v>1.5</v>
      </c>
      <c r="D44" s="6" t="n">
        <v>2</v>
      </c>
      <c r="E44" s="6" t="n">
        <v>3</v>
      </c>
      <c r="F44" s="6">
        <f>ROUND((C44+4*D44+E44)/6,2)</f>
        <v/>
      </c>
      <c r="G44" s="6">
        <f>ROUND((E44-C44)/6,2)</f>
        <v/>
      </c>
      <c r="H44" s="6" t="inlineStr">
        <is>
          <t>—</t>
        </is>
      </c>
      <c r="I44" s="6" t="n">
        <v>0</v>
      </c>
      <c r="J44" s="6" t="n">
        <v>2.08</v>
      </c>
      <c r="K44" s="6" t="n">
        <v>32.83</v>
      </c>
      <c r="L44" s="6" t="inlineStr">
        <is>
          <t>No</t>
        </is>
      </c>
    </row>
    <row r="45">
      <c r="A45" s="6" t="inlineStr">
        <is>
          <t>RNF-004</t>
        </is>
      </c>
      <c r="B45" s="4" t="inlineStr">
        <is>
          <t>Confidencialidad de datos personales</t>
        </is>
      </c>
      <c r="C45" s="6" t="n">
        <v>1</v>
      </c>
      <c r="D45" s="6" t="n">
        <v>1</v>
      </c>
      <c r="E45" s="6" t="n">
        <v>2</v>
      </c>
      <c r="F45" s="6">
        <f>ROUND((C45+4*D45+E45)/6,2)</f>
        <v/>
      </c>
      <c r="G45" s="6">
        <f>ROUND((E45-C45)/6,2)</f>
        <v/>
      </c>
      <c r="H45" s="6" t="inlineStr">
        <is>
          <t>RNF-003</t>
        </is>
      </c>
      <c r="I45" s="6" t="n">
        <v>2.08</v>
      </c>
      <c r="J45" s="6" t="n">
        <v>3.25</v>
      </c>
      <c r="K45" s="6" t="n">
        <v>32.83</v>
      </c>
      <c r="L45" s="6" t="inlineStr">
        <is>
          <t>No</t>
        </is>
      </c>
    </row>
    <row r="46">
      <c r="A46" s="6" t="inlineStr">
        <is>
          <t>RNF-005</t>
        </is>
      </c>
      <c r="B46" s="4" t="inlineStr">
        <is>
          <t>Sesión cifrada</t>
        </is>
      </c>
      <c r="C46" s="6" t="n">
        <v>1</v>
      </c>
      <c r="D46" s="6" t="n">
        <v>1</v>
      </c>
      <c r="E46" s="6" t="n">
        <v>2</v>
      </c>
      <c r="F46" s="6">
        <f>ROUND((C46+4*D46+E46)/6,2)</f>
        <v/>
      </c>
      <c r="G46" s="6">
        <f>ROUND((E46-C46)/6,2)</f>
        <v/>
      </c>
      <c r="H46" s="6" t="inlineStr">
        <is>
          <t>—</t>
        </is>
      </c>
      <c r="I46" s="6" t="n">
        <v>0</v>
      </c>
      <c r="J46" s="6" t="n">
        <v>1.17</v>
      </c>
      <c r="K46" s="6" t="n">
        <v>34.92</v>
      </c>
      <c r="L46" s="6" t="inlineStr">
        <is>
          <t>No</t>
        </is>
      </c>
    </row>
    <row r="47">
      <c r="A47" s="6" t="inlineStr">
        <is>
          <t>RNF-006</t>
        </is>
      </c>
      <c r="B47" s="4" t="inlineStr">
        <is>
          <t>Mensajes en español</t>
        </is>
      </c>
      <c r="C47" s="6" t="n">
        <v>1</v>
      </c>
      <c r="D47" s="6" t="n">
        <v>1.5</v>
      </c>
      <c r="E47" s="6" t="n">
        <v>2</v>
      </c>
      <c r="F47" s="6">
        <f>ROUND((C47+4*D47+E47)/6,2)</f>
        <v/>
      </c>
      <c r="G47" s="6">
        <f>ROUND((E47-C47)/6,2)</f>
        <v/>
      </c>
      <c r="H47" s="6" t="inlineStr">
        <is>
          <t>—</t>
        </is>
      </c>
      <c r="I47" s="6" t="n">
        <v>0</v>
      </c>
      <c r="J47" s="6" t="n">
        <v>1.5</v>
      </c>
      <c r="K47" s="6" t="n">
        <v>34.58</v>
      </c>
      <c r="L47" s="6" t="inlineStr">
        <is>
          <t>No</t>
        </is>
      </c>
    </row>
    <row r="48">
      <c r="A48" s="6" t="inlineStr">
        <is>
          <t>RNF-007</t>
        </is>
      </c>
      <c r="B48" s="4" t="inlineStr">
        <is>
          <t>Consistencia de la compra</t>
        </is>
      </c>
      <c r="C48" s="6" t="n">
        <v>1</v>
      </c>
      <c r="D48" s="6" t="n">
        <v>2</v>
      </c>
      <c r="E48" s="6" t="n">
        <v>2</v>
      </c>
      <c r="F48" s="6">
        <f>ROUND((C48+4*D48+E48)/6,2)</f>
        <v/>
      </c>
      <c r="G48" s="6">
        <f>ROUND((E48-C48)/6,2)</f>
        <v/>
      </c>
      <c r="H48" s="6" t="inlineStr">
        <is>
          <t>—</t>
        </is>
      </c>
      <c r="I48" s="6" t="n">
        <v>0</v>
      </c>
      <c r="J48" s="6" t="n">
        <v>1.83</v>
      </c>
      <c r="K48" s="6" t="n">
        <v>34.25</v>
      </c>
      <c r="L48" s="6" t="inlineStr">
        <is>
          <t>No</t>
        </is>
      </c>
    </row>
    <row r="49">
      <c r="A49" s="6" t="inlineStr">
        <is>
          <t>RNF-008</t>
        </is>
      </c>
      <c r="B49" s="4" t="inlineStr">
        <is>
          <t>Integración continua</t>
        </is>
      </c>
      <c r="C49" s="6" t="n">
        <v>1</v>
      </c>
      <c r="D49" s="6" t="n">
        <v>1</v>
      </c>
      <c r="E49" s="6" t="n">
        <v>2</v>
      </c>
      <c r="F49" s="6">
        <f>ROUND((C49+4*D49+E49)/6,2)</f>
        <v/>
      </c>
      <c r="G49" s="6">
        <f>ROUND((E49-C49)/6,2)</f>
        <v/>
      </c>
      <c r="H49" s="6" t="inlineStr">
        <is>
          <t>—</t>
        </is>
      </c>
      <c r="I49" s="6" t="n">
        <v>0</v>
      </c>
      <c r="J49" s="6" t="n">
        <v>1.17</v>
      </c>
      <c r="K49" s="6" t="n">
        <v>34.92</v>
      </c>
      <c r="L49" s="6" t="inlineStr">
        <is>
          <t>No</t>
        </is>
      </c>
    </row>
    <row r="50">
      <c r="A50" s="6" t="inlineStr">
        <is>
          <t>RNF-009</t>
        </is>
      </c>
      <c r="B50" s="4" t="inlineStr">
        <is>
          <t>Accesibilidad</t>
        </is>
      </c>
      <c r="C50" s="6" t="n">
        <v>1</v>
      </c>
      <c r="D50" s="6" t="n">
        <v>1.5</v>
      </c>
      <c r="E50" s="6" t="n">
        <v>2</v>
      </c>
      <c r="F50" s="6">
        <f>ROUND((C50+4*D50+E50)/6,2)</f>
        <v/>
      </c>
      <c r="G50" s="6">
        <f>ROUND((E50-C50)/6,2)</f>
        <v/>
      </c>
      <c r="H50" s="6" t="inlineStr">
        <is>
          <t>—</t>
        </is>
      </c>
      <c r="I50" s="6" t="n">
        <v>0</v>
      </c>
      <c r="J50" s="6" t="n">
        <v>1.5</v>
      </c>
      <c r="K50" s="6" t="n">
        <v>34.58</v>
      </c>
      <c r="L50" s="6" t="inlineStr">
        <is>
          <t>No</t>
        </is>
      </c>
    </row>
    <row r="52">
      <c r="A52" s="13" t="inlineStr">
        <is>
          <t>Total del proyecto (suma de TE)</t>
        </is>
      </c>
      <c r="F52" s="13">
        <f>SUM(F3:F50)</f>
        <v/>
      </c>
    </row>
    <row r="53">
      <c r="A53" s="13" t="inlineStr">
        <is>
          <t>Duración del camino crítico (días)</t>
        </is>
      </c>
      <c r="F53" s="13" t="n">
        <v>36.08</v>
      </c>
    </row>
    <row r="54">
      <c r="A54" s="13" t="inlineStr">
        <is>
          <t>Camino crítico</t>
        </is>
      </c>
      <c r="B54" t="inlineStr">
        <is>
          <t>RF-007 → RF-012 → RF-016 → RF-021 → RF-039</t>
        </is>
      </c>
    </row>
    <row r="55">
      <c r="A55" s="13" t="inlineStr">
        <is>
          <t>σ del camino crítico (días)</t>
        </is>
      </c>
      <c r="F55" t="n">
        <v>2.43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3" t="inlineStr">
        <is>
          <t>Formato</t>
        </is>
      </c>
      <c r="B1" s="9" t="inlineStr">
        <is>
          <t>Práctica Clase 5: Lista_de_req_con_dependencias.xlsx (Testing &amp; Calidad, Mg. Pedro Brest).</t>
        </is>
      </c>
    </row>
    <row r="2">
      <c r="A2" s="13" t="inlineStr">
        <is>
          <t>Fechas</t>
        </is>
      </c>
      <c r="B2" s="9" t="inlineStr">
        <is>
          <t>Inicio = primer commit del requerimiento en GitHub (yuriangelperez/newyou-app); fin = último cambio que lo completó.</t>
        </is>
      </c>
    </row>
    <row r="3">
      <c r="A3" s="13" t="inlineStr">
        <is>
          <t>Estimaciones</t>
        </is>
      </c>
      <c r="B3" s="9" t="inlineStr">
        <is>
          <t>Reconstruidas al 27/10/2026 a partir del trabajo real; formato pesimista/probable/optimista en días, como pide la plantilla. "—" = el área no participa.</t>
        </is>
      </c>
    </row>
    <row r="4">
      <c r="A4" s="13" t="inlineStr">
        <is>
          <t>Historias</t>
        </is>
      </c>
      <c r="B4" s="9" t="inlineStr">
        <is>
          <t>Etapa 1 - New You, secciones 7 y 8 (HU01–HU21). RF-011, RF-023, RF-025 a RF-028 y RF-035 todavía no tienen HU propia.</t>
        </is>
      </c>
    </row>
    <row r="5">
      <c r="A5" s="13" t="inlineStr">
        <is>
          <t>Testware</t>
        </is>
      </c>
      <c r="B5" s="9" t="inlineStr">
        <is>
          <t>docs/testing/README.md (RTM, defectos, checklists ISO 25010); docs/testing/features (Gherkin); docs/testing/postman; docs/testing/jmeter; .maestro; __tests__ (Jest) y la planilla "Casos de prueba — New You.xlsx".</t>
        </is>
      </c>
    </row>
    <row r="6">
      <c r="A6" s="13" t="inlineStr">
        <is>
          <t>Estados</t>
        </is>
      </c>
      <c r="B6" s="9" t="inlineStr">
        <is>
          <t>Implementado: en la rama datos-yuri. Pendiente: planificado para la segunda entrega (fondo amarillo).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2026-10-28T00:04:26Z</dcterms:created>
  <dcterms:modified xmlns:dcterms="http://purl.org/dc/terms/" xmlns:xsi="http://www.w3.org/2001/XMLSchema-instance" xsi:type="dcterms:W3CDTF">2026-10-28T00:04:26Z</dcterms:modified>
</cp:coreProperties>
</file>